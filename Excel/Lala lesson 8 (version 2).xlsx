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Umid\Desktop\Lala Data analytics\Fullstack\excel\"/>
    </mc:Choice>
  </mc:AlternateContent>
  <xr:revisionPtr revIDLastSave="0" documentId="13_ncr:10000001_{ABC47152-59EB-45F9-A027-E875FE9810AE}" xr6:coauthVersionLast="47" xr6:coauthVersionMax="47" xr10:uidLastSave="{00000000-0000-0000-0000-000000000000}"/>
  <bookViews>
    <workbookView xWindow="-98" yWindow="-98" windowWidth="21795" windowHeight="12975" tabRatio="724" activeTab="1" xr2:uid="{27038485-2A8D-420F-A2BC-99A7F3BDDE42}"/>
  </bookViews>
  <sheets>
    <sheet name="Consolidated_Sales_Data" sheetId="2" r:id="rId1"/>
    <sheet name="Dashboard" sheetId="8" r:id="rId2"/>
    <sheet name="Summary" sheetId="9" r:id="rId3"/>
    <sheet name="average sales per region" sheetId="7" r:id="rId4"/>
    <sheet name="Sale by category" sheetId="3" r:id="rId5"/>
    <sheet name="Total sales by region" sheetId="5" r:id="rId6"/>
    <sheet name="Monthly Sales" sheetId="4" r:id="rId7"/>
    <sheet name="month-wise revenue" sheetId="6" r:id="rId8"/>
  </sheets>
  <definedNames>
    <definedName name="ExternalData_1" localSheetId="3" hidden="1">'average sales per region'!$A$1:$B$6</definedName>
    <definedName name="ExternalData_1" localSheetId="7" hidden="1">'month-wise revenue'!$A$1:$B$13</definedName>
    <definedName name="Slicer_ProductName">#N/A</definedName>
    <definedName name="Slicer_ProductName2">#N/A</definedName>
    <definedName name="Slicer_Region">#N/A</definedName>
  </definedNames>
  <calcPr calcId="191029"/>
  <pivotCaches>
    <pivotCache cacheId="0" r:id="rId9"/>
  </pivotCaches>
  <fileRecoveryPr repairLoad="1"/>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F7A3D9-2AAB-42AE-A531-BBB08DB8F482}" keepAlive="1" name="Query - average sales amount per region" description="Connection to the 'average sales amount per region' query in the workbook." type="5" refreshedVersion="8" background="1" saveData="1">
    <dbPr connection="Provider=Microsoft.Mashup.OleDb.1;Data Source=$Workbook$;Location=&quot;average sales amount per region&quot;;Extended Properties=&quot;&quot;" command="SELECT * FROM [average sales amount per region]"/>
  </connection>
  <connection id="2" xr16:uid="{45BC32EE-1B61-48CD-9CC6-7EEC10E4893B}" keepAlive="1" name="Query - Consolidated_Sales_Data" description="Connection to the 'Consolidated_Sales_Data' query in the workbook." type="5" refreshedVersion="0" background="1">
    <dbPr connection="Provider=Microsoft.Mashup.OleDb.1;Data Source=$Workbook$;Location=Consolidated_Sales_Data;Extended Properties=&quot;&quot;" command="SELECT * FROM [Consolidated_Sales_Data]"/>
  </connection>
  <connection id="3" xr16:uid="{E7E1208F-DC19-4D6B-BC5B-F36F05FA23E9}" keepAlive="1" name="Query - Consolidated_Sales_Data copy raw" description="Connection to the 'Consolidated_Sales_Data copy raw' query in the workbook." type="5" refreshedVersion="0" background="1">
    <dbPr connection="Provider=Microsoft.Mashup.OleDb.1;Data Source=$Workbook$;Location=&quot;Consolidated_Sales_Data copy raw&quot;;Extended Properties=&quot;&quot;" command="SELECT * FROM [Consolidated_Sales_Data copy raw]"/>
  </connection>
  <connection id="4" xr16:uid="{A5C7D0B7-9911-45A1-A627-162A0431826D}" keepAlive="1" name="Query - month-wise revenue" description="Connection to the 'month-wise revenue' query in the workbook." type="5" refreshedVersion="8" background="1" saveData="1">
    <dbPr connection="Provider=Microsoft.Mashup.OleDb.1;Data Source=$Workbook$;Location=&quot;month-wise revenue&quot;;Extended Properties=&quot;&quot;" command="SELECT * FROM [month-wise revenue]"/>
  </connection>
</connections>
</file>

<file path=xl/sharedStrings.xml><?xml version="1.0" encoding="utf-8"?>
<sst xmlns="http://schemas.openxmlformats.org/spreadsheetml/2006/main" count="560" uniqueCount="206">
  <si>
    <t>SaleID</t>
  </si>
  <si>
    <t>SaleDate</t>
  </si>
  <si>
    <t>Sale date</t>
  </si>
  <si>
    <t>SaleMonth</t>
  </si>
  <si>
    <t>SaleYear</t>
  </si>
  <si>
    <t>ProductName</t>
  </si>
  <si>
    <t>Category</t>
  </si>
  <si>
    <t>Price</t>
  </si>
  <si>
    <t>Quantity</t>
  </si>
  <si>
    <t>SaleAmount</t>
  </si>
  <si>
    <t>CustomerName</t>
  </si>
  <si>
    <t>Region</t>
  </si>
  <si>
    <t>JoinDate</t>
  </si>
  <si>
    <t>S1000</t>
  </si>
  <si>
    <t>Product 6</t>
  </si>
  <si>
    <t>Clothing</t>
  </si>
  <si>
    <t>Customer 8</t>
  </si>
  <si>
    <t>West</t>
  </si>
  <si>
    <t>S1001</t>
  </si>
  <si>
    <t>Product 2</t>
  </si>
  <si>
    <t>Home &amp; Garden</t>
  </si>
  <si>
    <t>Customer 1</t>
  </si>
  <si>
    <t>S1002</t>
  </si>
  <si>
    <t>Product 7</t>
  </si>
  <si>
    <t>Customer 22</t>
  </si>
  <si>
    <t>North</t>
  </si>
  <si>
    <t>S1003</t>
  </si>
  <si>
    <t>Product 4</t>
  </si>
  <si>
    <t>Customer 49</t>
  </si>
  <si>
    <t>Central</t>
  </si>
  <si>
    <t>S1004</t>
  </si>
  <si>
    <t>Product 10</t>
  </si>
  <si>
    <t>Customer 19</t>
  </si>
  <si>
    <t>S1005</t>
  </si>
  <si>
    <t>Product 5</t>
  </si>
  <si>
    <t>Toys</t>
  </si>
  <si>
    <t>Customer 32</t>
  </si>
  <si>
    <t>South</t>
  </si>
  <si>
    <t>S1006</t>
  </si>
  <si>
    <t>Product 17</t>
  </si>
  <si>
    <t>Books</t>
  </si>
  <si>
    <t>Customer 33</t>
  </si>
  <si>
    <t>S1007</t>
  </si>
  <si>
    <t>Customer 37</t>
  </si>
  <si>
    <t>S1008</t>
  </si>
  <si>
    <t>Product 15</t>
  </si>
  <si>
    <t>S1009</t>
  </si>
  <si>
    <t>Customer 27</t>
  </si>
  <si>
    <t>S1010</t>
  </si>
  <si>
    <t>Product 8</t>
  </si>
  <si>
    <t>Customer 25</t>
  </si>
  <si>
    <t>S1011</t>
  </si>
  <si>
    <t>Product 14</t>
  </si>
  <si>
    <t>Electronics</t>
  </si>
  <si>
    <t>Customer 31</t>
  </si>
  <si>
    <t>S1012</t>
  </si>
  <si>
    <t>S1013</t>
  </si>
  <si>
    <t>Product 9</t>
  </si>
  <si>
    <t>Customer 47</t>
  </si>
  <si>
    <t>East</t>
  </si>
  <si>
    <t>S1014</t>
  </si>
  <si>
    <t>Product 18</t>
  </si>
  <si>
    <t>Customer 48</t>
  </si>
  <si>
    <t>S1015</t>
  </si>
  <si>
    <t>Product 12</t>
  </si>
  <si>
    <t>S1016</t>
  </si>
  <si>
    <t>Customer 21</t>
  </si>
  <si>
    <t>S1017</t>
  </si>
  <si>
    <t>Customer 5</t>
  </si>
  <si>
    <t>S1018</t>
  </si>
  <si>
    <t>Customer 36</t>
  </si>
  <si>
    <t>S1019</t>
  </si>
  <si>
    <t>Customer 30</t>
  </si>
  <si>
    <t>S1020</t>
  </si>
  <si>
    <t>S1021</t>
  </si>
  <si>
    <t>Product 0</t>
  </si>
  <si>
    <t>Customer 17</t>
  </si>
  <si>
    <t>S1022</t>
  </si>
  <si>
    <t>S1023</t>
  </si>
  <si>
    <t>Product 3</t>
  </si>
  <si>
    <t>Customer 15</t>
  </si>
  <si>
    <t>S1024</t>
  </si>
  <si>
    <t>Customer 39</t>
  </si>
  <si>
    <t>S1025</t>
  </si>
  <si>
    <t>Product 11</t>
  </si>
  <si>
    <t>S1026</t>
  </si>
  <si>
    <t>S1027</t>
  </si>
  <si>
    <t>Customer 3</t>
  </si>
  <si>
    <t>S1028</t>
  </si>
  <si>
    <t>S1029</t>
  </si>
  <si>
    <t>S1030</t>
  </si>
  <si>
    <t>S1031</t>
  </si>
  <si>
    <t>Product 16</t>
  </si>
  <si>
    <t>Customer 20</t>
  </si>
  <si>
    <t>S1032</t>
  </si>
  <si>
    <t>S1033</t>
  </si>
  <si>
    <t>Customer 4</t>
  </si>
  <si>
    <t>S1034</t>
  </si>
  <si>
    <t>S1035</t>
  </si>
  <si>
    <t>Customer 26</t>
  </si>
  <si>
    <t>S1036</t>
  </si>
  <si>
    <t>S1037</t>
  </si>
  <si>
    <t>Customer 14</t>
  </si>
  <si>
    <t>S1038</t>
  </si>
  <si>
    <t>Customer 0</t>
  </si>
  <si>
    <t>S1039</t>
  </si>
  <si>
    <t>Customer 13</t>
  </si>
  <si>
    <t>S1040</t>
  </si>
  <si>
    <t>S1041</t>
  </si>
  <si>
    <t>Product 13</t>
  </si>
  <si>
    <t>S1042</t>
  </si>
  <si>
    <t>S1043</t>
  </si>
  <si>
    <t>S1044</t>
  </si>
  <si>
    <t>S1045</t>
  </si>
  <si>
    <t>S1046</t>
  </si>
  <si>
    <t>Product 19</t>
  </si>
  <si>
    <t>Customer 40</t>
  </si>
  <si>
    <t>S1047</t>
  </si>
  <si>
    <t>Customer 18</t>
  </si>
  <si>
    <t>S1048</t>
  </si>
  <si>
    <t>S1049</t>
  </si>
  <si>
    <t>Customer 44</t>
  </si>
  <si>
    <t>S1050</t>
  </si>
  <si>
    <t>S1051</t>
  </si>
  <si>
    <t>Product 1</t>
  </si>
  <si>
    <t>S1052</t>
  </si>
  <si>
    <t>S1053</t>
  </si>
  <si>
    <t>S1054</t>
  </si>
  <si>
    <t>S1055</t>
  </si>
  <si>
    <t>S1056</t>
  </si>
  <si>
    <t>S1057</t>
  </si>
  <si>
    <t>S1058</t>
  </si>
  <si>
    <t>Customer 11</t>
  </si>
  <si>
    <t>S1059</t>
  </si>
  <si>
    <t>S1060</t>
  </si>
  <si>
    <t>Customer 41</t>
  </si>
  <si>
    <t>S1061</t>
  </si>
  <si>
    <t>S1062</t>
  </si>
  <si>
    <t>Customer 43</t>
  </si>
  <si>
    <t>S1063</t>
  </si>
  <si>
    <t>S1064</t>
  </si>
  <si>
    <t>S1065</t>
  </si>
  <si>
    <t>S1066</t>
  </si>
  <si>
    <t>Customer 24</t>
  </si>
  <si>
    <t>S1067</t>
  </si>
  <si>
    <t>S1068</t>
  </si>
  <si>
    <t>S1069</t>
  </si>
  <si>
    <t>Customer 23</t>
  </si>
  <si>
    <t>S1070</t>
  </si>
  <si>
    <t>S1071</t>
  </si>
  <si>
    <t>S1072</t>
  </si>
  <si>
    <t>S1073</t>
  </si>
  <si>
    <t>S1074</t>
  </si>
  <si>
    <t>S1075</t>
  </si>
  <si>
    <t>Customer 42</t>
  </si>
  <si>
    <t>S1076</t>
  </si>
  <si>
    <t>S1077</t>
  </si>
  <si>
    <t>S1078</t>
  </si>
  <si>
    <t>S1079</t>
  </si>
  <si>
    <t>S1080</t>
  </si>
  <si>
    <t>Customer 38</t>
  </si>
  <si>
    <t>S1081</t>
  </si>
  <si>
    <t>S1082</t>
  </si>
  <si>
    <t>S1083</t>
  </si>
  <si>
    <t>S1084</t>
  </si>
  <si>
    <t>Customer 29</t>
  </si>
  <si>
    <t>S1085</t>
  </si>
  <si>
    <t>Customer 9</t>
  </si>
  <si>
    <t>S1086</t>
  </si>
  <si>
    <t>S1087</t>
  </si>
  <si>
    <t>Customer 28</t>
  </si>
  <si>
    <t>S1088</t>
  </si>
  <si>
    <t>S1089</t>
  </si>
  <si>
    <t>S1090</t>
  </si>
  <si>
    <t>S1091</t>
  </si>
  <si>
    <t>Customer 2</t>
  </si>
  <si>
    <t>S1092</t>
  </si>
  <si>
    <t>S1093</t>
  </si>
  <si>
    <t>S1094</t>
  </si>
  <si>
    <t>S1095</t>
  </si>
  <si>
    <t>S1096</t>
  </si>
  <si>
    <t>S1097</t>
  </si>
  <si>
    <t>S1098</t>
  </si>
  <si>
    <t>S1099</t>
  </si>
  <si>
    <t>Row Labels</t>
  </si>
  <si>
    <t>Grand Total</t>
  </si>
  <si>
    <t>Sum of SaleAmount</t>
  </si>
  <si>
    <t>Total SaleAmount</t>
  </si>
  <si>
    <t>Mar</t>
  </si>
  <si>
    <t>Apr</t>
  </si>
  <si>
    <t>May</t>
  </si>
  <si>
    <t>Jul</t>
  </si>
  <si>
    <t>Aug</t>
  </si>
  <si>
    <t>Sep</t>
  </si>
  <si>
    <t>Oct</t>
  </si>
  <si>
    <t>Nov</t>
  </si>
  <si>
    <t>Dec</t>
  </si>
  <si>
    <t>month-wise revenue</t>
  </si>
  <si>
    <t>Jan</t>
  </si>
  <si>
    <t>Feb</t>
  </si>
  <si>
    <t>Jun</t>
  </si>
  <si>
    <t>average sales amount</t>
  </si>
  <si>
    <t>Sales Analytics &amp; Regional Performance Dashboard</t>
  </si>
  <si>
    <t>Total Revenue</t>
  </si>
  <si>
    <t>Number of Sales</t>
  </si>
  <si>
    <t>Total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</si>
</sst>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m/dd/yyyy"/>
    <numFmt numFmtId="165" formatCode="mmmm\ d\ yyyy"/>
    <numFmt numFmtId="166" formatCode="&quot;$&quot;#,##0.00"/>
    <numFmt numFmtId="167" formatCode="&quot;$&quot;#,##0"/>
  </numFmts>
  <fonts count="8" x14ac:knownFonts="1">
    <font>
      <sz val="11"/>
      <color theme="1"/>
      <name val="Aptos Narrow"/>
      <family val="2"/>
      <scheme val="minor"/>
    </font>
    <font>
      <b/>
      <sz val="11"/>
      <color theme="0"/>
      <name val="Aptos Narrow"/>
      <family val="2"/>
      <scheme val="minor"/>
    </font>
    <font>
      <sz val="11"/>
      <color theme="0"/>
      <name val="Aptos Narrow"/>
      <family val="2"/>
      <scheme val="minor"/>
    </font>
    <font>
      <b/>
      <sz val="16"/>
      <color theme="1"/>
      <name val="Aptos Narrow"/>
      <family val="2"/>
      <scheme val="minor"/>
    </font>
    <font>
      <b/>
      <sz val="24"/>
      <color theme="0"/>
      <name val="Aptos Narrow"/>
      <family val="2"/>
      <scheme val="minor"/>
    </font>
    <font>
      <sz val="18"/>
      <name val="Aptos Narrow"/>
      <family val="2"/>
      <scheme val="minor"/>
    </font>
    <font>
      <b/>
      <sz val="18"/>
      <name val="Aptos Narrow"/>
      <family val="2"/>
      <scheme val="minor"/>
    </font>
    <font>
      <b/>
      <sz val="18"/>
      <color theme="1"/>
      <name val="Aptos Narrow"/>
      <family val="2"/>
      <scheme val="minor"/>
    </font>
  </fonts>
  <fills count="9">
    <fill>
      <patternFill patternType="none"/>
    </fill>
    <fill>
      <patternFill patternType="gray125"/>
    </fill>
    <fill>
      <patternFill patternType="solid">
        <fgColor theme="8" tint="-0.499984740745262"/>
        <bgColor indexed="64"/>
      </patternFill>
    </fill>
    <fill>
      <patternFill patternType="solid">
        <fgColor theme="0" tint="-0.14999847407452621"/>
        <bgColor indexed="64"/>
      </patternFill>
    </fill>
    <fill>
      <patternFill patternType="solid">
        <fgColor theme="1" tint="0.34998626667073579"/>
        <bgColor theme="9"/>
      </patternFill>
    </fill>
    <fill>
      <patternFill patternType="solid">
        <fgColor theme="1" tint="0.34998626667073579"/>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theme="0"/>
        <bgColor indexed="64"/>
      </patternFill>
    </fill>
  </fills>
  <borders count="8">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2" fillId="2" borderId="7" xfId="0" applyFont="1" applyFill="1" applyBorder="1"/>
    <xf numFmtId="0" fontId="0" fillId="0" borderId="7" xfId="0" applyBorder="1" applyAlignment="1">
      <alignment horizontal="left"/>
    </xf>
    <xf numFmtId="0" fontId="0" fillId="3" borderId="7" xfId="0" applyFill="1" applyBorder="1" applyAlignment="1">
      <alignment horizontal="left"/>
    </xf>
    <xf numFmtId="165" fontId="0" fillId="0" borderId="0" xfId="0" applyNumberFormat="1"/>
    <xf numFmtId="0" fontId="0" fillId="0" borderId="4" xfId="0" applyBorder="1"/>
    <xf numFmtId="165" fontId="0" fillId="0" borderId="5" xfId="0" applyNumberFormat="1" applyBorder="1"/>
    <xf numFmtId="0" fontId="0" fillId="0" borderId="5" xfId="0" applyBorder="1"/>
    <xf numFmtId="22" fontId="0" fillId="0" borderId="6" xfId="0" applyNumberFormat="1" applyBorder="1"/>
    <xf numFmtId="0" fontId="0" fillId="0" borderId="1" xfId="0" applyBorder="1"/>
    <xf numFmtId="165" fontId="0" fillId="0" borderId="2" xfId="0" applyNumberFormat="1" applyBorder="1"/>
    <xf numFmtId="0" fontId="0" fillId="0" borderId="2" xfId="0" applyBorder="1"/>
    <xf numFmtId="22" fontId="0" fillId="0" borderId="3" xfId="0" applyNumberFormat="1" applyBorder="1"/>
    <xf numFmtId="0" fontId="1" fillId="4" borderId="4" xfId="0" applyFont="1" applyFill="1" applyBorder="1"/>
    <xf numFmtId="165" fontId="1" fillId="4" borderId="5" xfId="0" applyNumberFormat="1" applyFont="1" applyFill="1" applyBorder="1"/>
    <xf numFmtId="0" fontId="1" fillId="4" borderId="5" xfId="0" applyFont="1" applyFill="1" applyBorder="1"/>
    <xf numFmtId="0" fontId="1" fillId="4" borderId="6" xfId="0" applyFont="1" applyFill="1" applyBorder="1"/>
    <xf numFmtId="166" fontId="0" fillId="0" borderId="7" xfId="0" applyNumberFormat="1" applyBorder="1"/>
    <xf numFmtId="167" fontId="0" fillId="0" borderId="7" xfId="0" applyNumberFormat="1" applyBorder="1"/>
    <xf numFmtId="167" fontId="0" fillId="3" borderId="7" xfId="0" applyNumberFormat="1" applyFill="1" applyBorder="1"/>
    <xf numFmtId="0" fontId="2" fillId="5" borderId="7" xfId="0" applyFont="1" applyFill="1" applyBorder="1" applyAlignment="1">
      <alignment horizontal="left"/>
    </xf>
    <xf numFmtId="167" fontId="0" fillId="0" borderId="0" xfId="0" applyNumberFormat="1"/>
    <xf numFmtId="0" fontId="0" fillId="6" borderId="0" xfId="0" applyFill="1"/>
    <xf numFmtId="0" fontId="0" fillId="3" borderId="0" xfId="0" applyFill="1"/>
    <xf numFmtId="0" fontId="0" fillId="7" borderId="0" xfId="0" applyFill="1"/>
    <xf numFmtId="0" fontId="5" fillId="3" borderId="0" xfId="0" applyFont="1" applyFill="1" applyAlignment="1">
      <alignment horizontal="center" vertical="center"/>
    </xf>
    <xf numFmtId="167" fontId="3" fillId="8" borderId="0" xfId="0" applyNumberFormat="1" applyFont="1" applyFill="1" applyAlignment="1">
      <alignment horizontal="center" vertical="center"/>
    </xf>
    <xf numFmtId="0" fontId="0" fillId="8" borderId="0" xfId="0" applyFill="1"/>
    <xf numFmtId="0" fontId="4" fillId="8" borderId="0" xfId="0" applyFont="1" applyFill="1" applyAlignment="1">
      <alignment vertical="center"/>
    </xf>
    <xf numFmtId="0" fontId="4" fillId="3" borderId="0" xfId="0" applyFont="1" applyFill="1" applyAlignment="1">
      <alignment vertical="center"/>
    </xf>
    <xf numFmtId="1" fontId="3" fillId="0" borderId="0" xfId="0" applyNumberFormat="1" applyFont="1" applyAlignment="1">
      <alignment horizontal="center" vertical="center"/>
    </xf>
    <xf numFmtId="0" fontId="6" fillId="3" borderId="0" xfId="0" applyFont="1" applyFill="1" applyAlignment="1">
      <alignment horizontal="center" vertical="center"/>
    </xf>
    <xf numFmtId="0" fontId="4" fillId="2" borderId="0" xfId="0" applyFont="1" applyFill="1" applyAlignment="1">
      <alignment horizontal="center" vertical="center"/>
    </xf>
    <xf numFmtId="0" fontId="0" fillId="0" borderId="0" xfId="0" applyNumberFormat="1"/>
    <xf numFmtId="0" fontId="7" fillId="0" borderId="0" xfId="0" applyNumberFormat="1" applyFont="1" applyAlignment="1">
      <alignment horizontal="center" vertical="center"/>
    </xf>
    <xf numFmtId="0" fontId="0" fillId="3" borderId="7" xfId="0" applyNumberFormat="1" applyFill="1" applyBorder="1"/>
    <xf numFmtId="0" fontId="2" fillId="5" borderId="7" xfId="0" applyNumberFormat="1" applyFont="1" applyFill="1" applyBorder="1"/>
  </cellXfs>
  <cellStyles count="1">
    <cellStyle name="Normal" xfId="0" builtinId="0"/>
  </cellStyles>
  <dxfs count="285">
    <dxf>
      <numFmt numFmtId="166" formatCode="&quot;$&quot;#,##0.00"/>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
    </dxf>
    <dxf>
      <numFmt numFmtId="166" formatCode="&quot;$&quot;#,##0.00"/>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
    </dxf>
    <dxf>
      <numFmt numFmtId="166" formatCode="&quot;$&quot;#,##0.00"/>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
    </dxf>
    <dxf>
      <numFmt numFmtId="166" formatCode="&quot;$&quot;#,##0.00"/>
    </dxf>
    <dxf>
      <fill>
        <patternFill patternType="solid">
          <bgColor theme="1" tint="0.34998626667073579"/>
        </patternFill>
      </fill>
    </dxf>
    <dxf>
      <fill>
        <patternFill patternType="solid">
          <bgColor theme="1" tint="0.34998626667073579"/>
        </patternFill>
      </fill>
    </dxf>
    <dxf>
      <font>
        <color theme="0"/>
      </font>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
    </dxf>
    <dxf>
      <font>
        <sz val="18"/>
        <color auto="1"/>
      </font>
      <fill>
        <patternFill patternType="solid">
          <fgColor indexed="64"/>
          <bgColor theme="0" tint="-0.14999847407452621"/>
        </patternFill>
      </fill>
      <alignment horizontal="center" vertical="center"/>
    </dxf>
    <dxf>
      <alignment vertical="center"/>
    </dxf>
    <dxf>
      <alignment vertical="center"/>
    </dxf>
    <dxf>
      <alignment vertical="center"/>
    </dxf>
    <dxf>
      <alignment horizontal="center"/>
    </dxf>
    <dxf>
      <alignment horizontal="center"/>
    </dxf>
    <dxf>
      <alignment horizontal="center"/>
    </dxf>
    <dxf>
      <font>
        <b/>
      </font>
    </dxf>
    <dxf>
      <font>
        <b/>
      </font>
    </dxf>
    <dxf>
      <font>
        <b/>
      </font>
    </dxf>
    <dxf>
      <font>
        <sz val="18"/>
      </font>
    </dxf>
    <dxf>
      <font>
        <sz val="18"/>
      </font>
    </dxf>
    <dxf>
      <font>
        <sz val="18"/>
      </font>
    </dxf>
    <dxf>
      <alignment vertical="center"/>
    </dxf>
    <dxf>
      <alignment vertical="center"/>
    </dxf>
    <dxf>
      <alignment vertical="center"/>
    </dxf>
    <dxf>
      <alignment horizontal="center"/>
    </dxf>
    <dxf>
      <alignment horizontal="center"/>
    </dxf>
    <dxf>
      <alignment horizontal="center"/>
    </dxf>
    <dxf>
      <font>
        <b/>
      </font>
    </dxf>
    <dxf>
      <font>
        <b/>
      </font>
    </dxf>
    <dxf>
      <font>
        <b/>
      </font>
    </dxf>
    <dxf>
      <font>
        <sz val="16"/>
      </font>
    </dxf>
    <dxf>
      <font>
        <sz val="16"/>
      </font>
    </dxf>
    <dxf>
      <font>
        <sz val="18"/>
        <color auto="1"/>
      </font>
      <fill>
        <patternFill patternType="solid">
          <fgColor indexed="64"/>
          <bgColor theme="0" tint="-0.14999847407452621"/>
        </patternFill>
      </fill>
    </dxf>
    <dxf>
      <numFmt numFmtId="1" formatCode="0"/>
    </dxf>
    <dxf>
      <font>
        <sz val="18"/>
      </font>
    </dxf>
    <dxf>
      <font>
        <sz val="18"/>
      </font>
    </dxf>
    <dxf>
      <font>
        <sz val="18"/>
      </font>
    </dxf>
    <dxf>
      <font>
        <sz val="20"/>
      </font>
    </dxf>
    <dxf>
      <font>
        <sz val="20"/>
      </font>
    </dxf>
    <dxf>
      <font>
        <sz val="20"/>
      </font>
    </dxf>
    <dxf>
      <font>
        <sz val="18"/>
      </font>
    </dxf>
    <dxf>
      <font>
        <sz val="20"/>
      </font>
    </dxf>
    <dxf>
      <font>
        <b/>
      </font>
    </dxf>
    <dxf>
      <font>
        <b/>
      </font>
    </dxf>
    <dxf>
      <font>
        <b/>
      </font>
    </dxf>
    <dxf>
      <font>
        <b/>
      </font>
    </dxf>
    <dxf>
      <alignment horizontal="center"/>
    </dxf>
    <dxf>
      <alignment horizontal="center"/>
    </dxf>
    <dxf>
      <alignment horizontal="center"/>
    </dxf>
    <dxf>
      <alignment horizontal="general"/>
    </dxf>
    <dxf>
      <alignment horizontal="general"/>
    </dxf>
    <dxf>
      <alignment horizontal="general"/>
    </dxf>
    <dxf>
      <alignment horizontal="center"/>
    </dxf>
    <dxf>
      <alignment horizontal="general"/>
    </dxf>
    <dxf>
      <alignment vertical="center"/>
    </dxf>
    <dxf>
      <alignment vertical="center"/>
    </dxf>
    <dxf>
      <alignment vertical="center"/>
    </dxf>
    <dxf>
      <alignment vertical="center"/>
    </dxf>
    <dxf>
      <numFmt numFmtId="167" formatCode="&quot;$&quot;#,##0"/>
    </dxf>
    <dxf>
      <fill>
        <patternFill patternType="solid">
          <fgColor indexed="64"/>
          <bgColor theme="1" tint="0.249977111117893"/>
        </patternFill>
      </fill>
    </dxf>
    <dxf>
      <numFmt numFmtId="167"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14999847407452621"/>
        </patternFill>
      </fill>
    </dxf>
    <dxf>
      <fill>
        <patternFill patternType="solid">
          <bgColor theme="0" tint="-0.14999847407452621"/>
        </patternFill>
      </fill>
    </dxf>
    <dxf>
      <font>
        <color theme="0"/>
      </font>
    </dxf>
    <dxf>
      <font>
        <color theme="0"/>
      </font>
    </dxf>
    <dxf>
      <fill>
        <patternFill patternType="solid">
          <bgColor theme="8" tint="-0.499984740745262"/>
        </patternFill>
      </fill>
    </dxf>
    <dxf>
      <fill>
        <patternFill patternType="solid">
          <bgColor theme="8"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1" tint="0.34998626667073579"/>
        </patternFill>
      </fill>
    </dxf>
    <dxf>
      <fill>
        <patternFill patternType="solid">
          <bgColor theme="1" tint="0.34998626667073579"/>
        </patternFill>
      </fill>
    </dxf>
    <dxf>
      <numFmt numFmtId="166" formatCode="&quot;$&quot;#,##0.00"/>
    </dxf>
    <dxf>
      <numFmt numFmtId="167"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14999847407452621"/>
        </patternFill>
      </fill>
    </dxf>
    <dxf>
      <fill>
        <patternFill patternType="solid">
          <bgColor theme="0" tint="-0.14999847407452621"/>
        </patternFill>
      </fill>
    </dxf>
    <dxf>
      <font>
        <color theme="0"/>
      </font>
    </dxf>
    <dxf>
      <font>
        <color theme="0"/>
      </font>
    </dxf>
    <dxf>
      <fill>
        <patternFill patternType="solid">
          <bgColor theme="8" tint="-0.499984740745262"/>
        </patternFill>
      </fill>
    </dxf>
    <dxf>
      <fill>
        <patternFill patternType="solid">
          <bgColor theme="8" tint="-0.499984740745262"/>
        </patternFill>
      </fill>
    </dxf>
    <dxf>
      <numFmt numFmtId="0" formatCode="General"/>
    </dxf>
    <dxf>
      <fill>
        <patternFill patternType="solid">
          <fgColor indexed="64"/>
          <bgColor theme="1" tint="0.249977111117893"/>
        </patternFill>
      </fill>
    </dxf>
    <dxf>
      <font>
        <sz val="18"/>
        <color auto="1"/>
      </font>
      <fill>
        <patternFill patternType="solid">
          <fgColor indexed="64"/>
          <bgColor theme="0" tint="-0.14999847407452621"/>
        </patternFill>
      </fill>
      <alignment horizontal="center" vertical="center"/>
    </dxf>
    <dxf>
      <numFmt numFmtId="1" formatCode="0"/>
    </dxf>
    <dxf>
      <font>
        <sz val="18"/>
        <color auto="1"/>
      </font>
      <fill>
        <patternFill patternType="solid">
          <fgColor indexed="64"/>
          <bgColor theme="0" tint="-0.14999847407452621"/>
        </patternFill>
      </fill>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7" formatCode="&quot;$&quot;#,##0"/>
    </dxf>
    <dxf>
      <font>
        <color auto="1"/>
      </font>
    </dxf>
    <dxf>
      <border>
        <left/>
        <right/>
        <top/>
        <bottom/>
      </border>
    </dxf>
    <dxf>
      <fill>
        <patternFill patternType="solid">
          <bgColor theme="0"/>
        </patternFill>
      </fill>
    </dxf>
    <dxf>
      <font>
        <sz val="18"/>
      </font>
    </dxf>
    <dxf>
      <font>
        <sz val="16"/>
      </font>
    </dxf>
    <dxf>
      <font>
        <b/>
      </font>
    </dxf>
    <dxf>
      <alignment horizontal="center"/>
    </dxf>
    <dxf>
      <alignment vertical="center"/>
    </dxf>
    <dxf>
      <alignment horizontal="center"/>
    </dxf>
    <dxf>
      <alignment vertical="center"/>
    </dxf>
    <dxf>
      <fill>
        <patternFill patternType="solid">
          <bgColor theme="0" tint="-0.149998474074526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[Lala lesson 8 (version 2).xlsx]Total sales by region!PivotTable3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'Total sales by region'!$B$3</c:f>
              <c:strCache>
                <c:ptCount val="1"/>
                <c:pt idx="0">
                  <c:v>Total</c:v>
                </c:pt>
              </c:strCache>
            </c:strRef>
          </c:tx>
          <c:spPr>
            <a:solidFill>
              <a:schemeClr val="accent5">
                <a:lumMod val="50000"/>
              </a:schemeClr>
            </a:solidFill>
            <a:ln>
              <a:solidFill>
                <a:schemeClr val="accent5">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 by region'!$A$4:$A$9</c:f>
              <c:strCache>
                <c:ptCount val="5"/>
                <c:pt idx="0">
                  <c:v>Central</c:v>
                </c:pt>
                <c:pt idx="1">
                  <c:v>East</c:v>
                </c:pt>
                <c:pt idx="2">
                  <c:v>North</c:v>
                </c:pt>
                <c:pt idx="3">
                  <c:v>South</c:v>
                </c:pt>
                <c:pt idx="4">
                  <c:v>West</c:v>
                </c:pt>
              </c:strCache>
            </c:strRef>
          </c:cat>
          <c:val>
            <c:numRef>
              <c:f>'Total sales by region'!$B$4:$B$9</c:f>
              <c:numCache>
                <c:formatCode>"$"#,##0.00</c:formatCode>
                <c:ptCount val="5"/>
                <c:pt idx="0">
                  <c:v>3925.13</c:v>
                </c:pt>
                <c:pt idx="1">
                  <c:v>3172.88</c:v>
                </c:pt>
                <c:pt idx="2">
                  <c:v>6152.3700000000008</c:v>
                </c:pt>
                <c:pt idx="3">
                  <c:v>4152.91</c:v>
                </c:pt>
                <c:pt idx="4">
                  <c:v>5058.7799999999988</c:v>
                </c:pt>
              </c:numCache>
            </c:numRef>
          </c:val>
          <c:extLst>
            <c:ext xmlns:c16="http://schemas.microsoft.com/office/drawing/2014/chart" uri="{C3380CC4-5D6E-409C-BE32-E72D297353CC}">
              <c16:uniqueId val="{00000000-EA0B-4FDD-AEA1-6FFA0C40E35B}"/>
            </c:ext>
          </c:extLst>
        </c:ser>
        <c:dLbls>
          <c:showLegendKey val="0"/>
          <c:showVal val="0"/>
          <c:showCatName val="0"/>
          <c:showSerName val="0"/>
          <c:showPercent val="0"/>
          <c:showBubbleSize val="0"/>
        </c:dLbls>
        <c:gapWidth val="150"/>
        <c:overlap val="100"/>
        <c:axId val="1220599056"/>
        <c:axId val="343129328"/>
      </c:barChart>
      <c:catAx>
        <c:axId val="12205990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129328"/>
        <c:crosses val="autoZero"/>
        <c:auto val="1"/>
        <c:lblAlgn val="ctr"/>
        <c:lblOffset val="100"/>
        <c:noMultiLvlLbl val="0"/>
      </c:catAx>
      <c:valAx>
        <c:axId val="343129328"/>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12205990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Average sales amount</a:t>
            </a:r>
          </a:p>
        </c:rich>
      </c:tx>
      <c:layout>
        <c:manualLayout>
          <c:xMode val="edge"/>
          <c:yMode val="edge"/>
          <c:x val="0.16642543695595804"/>
          <c:y val="1.9181624305987688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'average sales per region'!$B$1</c:f>
              <c:strCache>
                <c:ptCount val="1"/>
                <c:pt idx="0">
                  <c:v>average sales amount</c:v>
                </c:pt>
              </c:strCache>
            </c:strRef>
          </c:tx>
          <c:dPt>
            <c:idx val="0"/>
            <c:bubble3D val="0"/>
            <c:spPr>
              <a:solidFill>
                <a:schemeClr val="accent5">
                  <a:shade val="5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E8C6-41BE-9AF9-87F010D25EC2}"/>
              </c:ext>
            </c:extLst>
          </c:dPt>
          <c:dPt>
            <c:idx val="1"/>
            <c:bubble3D val="0"/>
            <c:spPr>
              <a:solidFill>
                <a:schemeClr val="accent5">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E8C6-41BE-9AF9-87F010D25EC2}"/>
              </c:ext>
            </c:extLst>
          </c:dPt>
          <c:dPt>
            <c:idx val="2"/>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E8C6-41BE-9AF9-87F010D25EC2}"/>
              </c:ext>
            </c:extLst>
          </c:dPt>
          <c:dPt>
            <c:idx val="3"/>
            <c:bubble3D val="0"/>
            <c:spPr>
              <a:solidFill>
                <a:schemeClr val="accent5">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E8C6-41BE-9AF9-87F010D25EC2}"/>
              </c:ext>
            </c:extLst>
          </c:dPt>
          <c:dPt>
            <c:idx val="4"/>
            <c:bubble3D val="0"/>
            <c:spPr>
              <a:solidFill>
                <a:schemeClr val="accent5">
                  <a:tint val="5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E8C6-41BE-9AF9-87F010D25EC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E8C6-41BE-9AF9-87F010D25EC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E8C6-41BE-9AF9-87F010D25EC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E8C6-41BE-9AF9-87F010D25EC2}"/>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E8C6-41BE-9AF9-87F010D25EC2}"/>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E8C6-41BE-9AF9-87F010D25EC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'average sales per region'!$A$2:$A$6</c:f>
              <c:strCache>
                <c:ptCount val="5"/>
                <c:pt idx="0">
                  <c:v>Central</c:v>
                </c:pt>
                <c:pt idx="1">
                  <c:v>South</c:v>
                </c:pt>
                <c:pt idx="2">
                  <c:v>West</c:v>
                </c:pt>
                <c:pt idx="3">
                  <c:v>East</c:v>
                </c:pt>
                <c:pt idx="4">
                  <c:v>North</c:v>
                </c:pt>
              </c:strCache>
            </c:strRef>
          </c:cat>
          <c:val>
            <c:numRef>
              <c:f>'average sales per region'!$B$2:$B$6</c:f>
              <c:numCache>
                <c:formatCode>General</c:formatCode>
                <c:ptCount val="5"/>
                <c:pt idx="0">
                  <c:v>261.67533333333336</c:v>
                </c:pt>
                <c:pt idx="1">
                  <c:v>259.55687499999999</c:v>
                </c:pt>
                <c:pt idx="2">
                  <c:v>219.94695652173917</c:v>
                </c:pt>
                <c:pt idx="3">
                  <c:v>211.52533333333332</c:v>
                </c:pt>
                <c:pt idx="4">
                  <c:v>198.46354838709678</c:v>
                </c:pt>
              </c:numCache>
            </c:numRef>
          </c:val>
          <c:extLst>
            <c:ext xmlns:c16="http://schemas.microsoft.com/office/drawing/2014/chart" uri="{C3380CC4-5D6E-409C-BE32-E72D297353CC}">
              <c16:uniqueId val="{0000000A-E8C6-41BE-9AF9-87F010D25EC2}"/>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[Lala lesson 8 (version 2).xlsx]Sale by category!PivotTable1</c:name>
    <c:fmtId val="1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 amount by Product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solidFill>
              <a:schemeClr val="accent5">
                <a:lumMod val="50000"/>
              </a:schemeClr>
            </a:solidFill>
          </a:ln>
          <a:effectLst/>
        </c:spPr>
        <c:dLbl>
          <c:idx val="0"/>
          <c:layout>
            <c:manualLayout>
              <c:x val="0"/>
              <c:y val="-0.189881160688247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solidFill>
              <a:schemeClr val="accent5">
                <a:lumMod val="50000"/>
              </a:schemeClr>
            </a:solidFill>
          </a:ln>
          <a:effectLst/>
        </c:spPr>
        <c:dLbl>
          <c:idx val="0"/>
          <c:layout>
            <c:manualLayout>
              <c:x val="-4.1666666666667178E-3"/>
              <c:y val="-0.1114288057742782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2055555555555557E-2"/>
                  <c:h val="0.10641221930592007"/>
                </c:manualLayout>
              </c15:layout>
            </c:ext>
          </c:extLst>
        </c:dLbl>
      </c:pivotFmt>
      <c:pivotFmt>
        <c:idx val="3"/>
        <c:spPr>
          <a:solidFill>
            <a:schemeClr val="accent5">
              <a:lumMod val="50000"/>
            </a:schemeClr>
          </a:solidFill>
          <a:ln>
            <a:solidFill>
              <a:schemeClr val="accent5">
                <a:lumMod val="50000"/>
              </a:schemeClr>
            </a:solidFill>
          </a:ln>
          <a:effectLst/>
        </c:spPr>
        <c:dLbl>
          <c:idx val="0"/>
          <c:layout>
            <c:manualLayout>
              <c:x val="0"/>
              <c:y val="-0.122186497521143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solidFill>
              <a:schemeClr val="accent5">
                <a:lumMod val="50000"/>
              </a:schemeClr>
            </a:solidFill>
          </a:ln>
          <a:effectLst/>
        </c:spPr>
        <c:dLbl>
          <c:idx val="0"/>
          <c:layout>
            <c:manualLayout>
              <c:x val="0"/>
              <c:y val="-0.305386410032079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solidFill>
              <a:schemeClr val="accent5">
                <a:lumMod val="50000"/>
              </a:schemeClr>
            </a:solidFill>
          </a:ln>
          <a:effectLst/>
        </c:spPr>
        <c:dLbl>
          <c:idx val="0"/>
          <c:layout>
            <c:manualLayout>
              <c:x val="-2.7777777777777905E-3"/>
              <c:y val="-0.246039297171186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50000"/>
            </a:schemeClr>
          </a:solidFill>
          <a:ln>
            <a:solidFill>
              <a:schemeClr val="accent5">
                <a:lumMod val="50000"/>
              </a:schemeClr>
            </a:solidFill>
          </a:ln>
          <a:effectLst/>
        </c:spPr>
        <c:dLbl>
          <c:idx val="0"/>
          <c:layout>
            <c:manualLayout>
              <c:x val="-2.7777777777777905E-3"/>
              <c:y val="-0.246039297171186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50000"/>
            </a:schemeClr>
          </a:solidFill>
          <a:ln>
            <a:solidFill>
              <a:schemeClr val="accent5">
                <a:lumMod val="50000"/>
              </a:schemeClr>
            </a:solidFill>
          </a:ln>
          <a:effectLst/>
        </c:spPr>
        <c:dLbl>
          <c:idx val="0"/>
          <c:layout>
            <c:manualLayout>
              <c:x val="0"/>
              <c:y val="-0.305386410032079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a:solidFill>
              <a:schemeClr val="accent5">
                <a:lumMod val="50000"/>
              </a:schemeClr>
            </a:solidFill>
          </a:ln>
          <a:effectLst/>
        </c:spPr>
        <c:dLbl>
          <c:idx val="0"/>
          <c:layout>
            <c:manualLayout>
              <c:x val="-4.1666666666667178E-3"/>
              <c:y val="-0.1114288057742782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2055555555555557E-2"/>
                  <c:h val="0.10641221930592007"/>
                </c:manualLayout>
              </c15:layout>
            </c:ext>
          </c:extLst>
        </c:dLbl>
      </c:pivotFmt>
      <c:pivotFmt>
        <c:idx val="10"/>
        <c:spPr>
          <a:solidFill>
            <a:schemeClr val="accent5">
              <a:lumMod val="50000"/>
            </a:schemeClr>
          </a:solidFill>
          <a:ln>
            <a:solidFill>
              <a:schemeClr val="accent5">
                <a:lumMod val="50000"/>
              </a:schemeClr>
            </a:solidFill>
          </a:ln>
          <a:effectLst/>
        </c:spPr>
        <c:dLbl>
          <c:idx val="0"/>
          <c:layout>
            <c:manualLayout>
              <c:x val="0"/>
              <c:y val="-0.189881160688247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50000"/>
            </a:schemeClr>
          </a:solidFill>
          <a:ln>
            <a:solidFill>
              <a:schemeClr val="accent5">
                <a:lumMod val="50000"/>
              </a:schemeClr>
            </a:solidFill>
          </a:ln>
          <a:effectLst/>
        </c:spPr>
        <c:dLbl>
          <c:idx val="0"/>
          <c:layout>
            <c:manualLayout>
              <c:x val="0"/>
              <c:y val="-0.122186497521143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50000"/>
            </a:schemeClr>
          </a:solidFill>
          <a:ln>
            <a:solidFill>
              <a:schemeClr val="accent5">
                <a:lumMod val="50000"/>
              </a:schemeClr>
            </a:solidFill>
          </a:ln>
          <a:effectLst/>
        </c:spPr>
        <c:dLbl>
          <c:idx val="0"/>
          <c:layout>
            <c:manualLayout>
              <c:x val="-2.7777777777777905E-3"/>
              <c:y val="-0.246039297171186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50000"/>
            </a:schemeClr>
          </a:solidFill>
          <a:ln>
            <a:solidFill>
              <a:schemeClr val="accent5">
                <a:lumMod val="50000"/>
              </a:schemeClr>
            </a:solidFill>
          </a:ln>
          <a:effectLst/>
        </c:spPr>
        <c:dLbl>
          <c:idx val="0"/>
          <c:layout>
            <c:manualLayout>
              <c:x val="0"/>
              <c:y val="-0.305386410032079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50000"/>
            </a:schemeClr>
          </a:solidFill>
          <a:ln>
            <a:solidFill>
              <a:schemeClr val="accent5">
                <a:lumMod val="50000"/>
              </a:schemeClr>
            </a:solidFill>
          </a:ln>
          <a:effectLst/>
        </c:spPr>
        <c:dLbl>
          <c:idx val="0"/>
          <c:layout>
            <c:manualLayout>
              <c:x val="-4.1666666666667178E-3"/>
              <c:y val="-0.1114288057742782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2055555555555557E-2"/>
                  <c:h val="0.10641221930592007"/>
                </c:manualLayout>
              </c15:layout>
            </c:ext>
          </c:extLst>
        </c:dLbl>
      </c:pivotFmt>
      <c:pivotFmt>
        <c:idx val="16"/>
        <c:spPr>
          <a:solidFill>
            <a:schemeClr val="accent5">
              <a:lumMod val="50000"/>
            </a:schemeClr>
          </a:solidFill>
          <a:ln>
            <a:solidFill>
              <a:schemeClr val="accent5">
                <a:lumMod val="50000"/>
              </a:schemeClr>
            </a:solidFill>
          </a:ln>
          <a:effectLst/>
        </c:spPr>
        <c:dLbl>
          <c:idx val="0"/>
          <c:layout>
            <c:manualLayout>
              <c:x val="0"/>
              <c:y val="-0.189881160688247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50000"/>
            </a:schemeClr>
          </a:solidFill>
          <a:ln>
            <a:solidFill>
              <a:schemeClr val="accent5">
                <a:lumMod val="50000"/>
              </a:schemeClr>
            </a:solidFill>
          </a:ln>
          <a:effectLst/>
        </c:spPr>
        <c:dLbl>
          <c:idx val="0"/>
          <c:layout>
            <c:manualLayout>
              <c:x val="0"/>
              <c:y val="-0.122186497521143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 by category'!$B$3</c:f>
              <c:strCache>
                <c:ptCount val="1"/>
                <c:pt idx="0">
                  <c:v>Total</c:v>
                </c:pt>
              </c:strCache>
            </c:strRef>
          </c:tx>
          <c:spPr>
            <a:solidFill>
              <a:schemeClr val="accent5">
                <a:lumMod val="50000"/>
              </a:schemeClr>
            </a:solidFill>
            <a:ln>
              <a:solidFill>
                <a:schemeClr val="accent5">
                  <a:lumMod val="50000"/>
                </a:schemeClr>
              </a:solidFill>
            </a:ln>
            <a:effectLst/>
          </c:spPr>
          <c:invertIfNegative val="0"/>
          <c:dPt>
            <c:idx val="0"/>
            <c:invertIfNegative val="0"/>
            <c:bubble3D val="0"/>
            <c:extLst>
              <c:ext xmlns:c16="http://schemas.microsoft.com/office/drawing/2014/chart" uri="{C3380CC4-5D6E-409C-BE32-E72D297353CC}">
                <c16:uniqueId val="{00000000-1300-4081-B958-E0E660A6FB36}"/>
              </c:ext>
            </c:extLst>
          </c:dPt>
          <c:dPt>
            <c:idx val="1"/>
            <c:invertIfNegative val="0"/>
            <c:bubble3D val="0"/>
            <c:extLst>
              <c:ext xmlns:c16="http://schemas.microsoft.com/office/drawing/2014/chart" uri="{C3380CC4-5D6E-409C-BE32-E72D297353CC}">
                <c16:uniqueId val="{00000001-1300-4081-B958-E0E660A6FB36}"/>
              </c:ext>
            </c:extLst>
          </c:dPt>
          <c:dPt>
            <c:idx val="2"/>
            <c:invertIfNegative val="0"/>
            <c:bubble3D val="0"/>
            <c:extLst>
              <c:ext xmlns:c16="http://schemas.microsoft.com/office/drawing/2014/chart" uri="{C3380CC4-5D6E-409C-BE32-E72D297353CC}">
                <c16:uniqueId val="{00000002-1300-4081-B958-E0E660A6FB36}"/>
              </c:ext>
            </c:extLst>
          </c:dPt>
          <c:dPt>
            <c:idx val="3"/>
            <c:invertIfNegative val="0"/>
            <c:bubble3D val="0"/>
            <c:extLst>
              <c:ext xmlns:c16="http://schemas.microsoft.com/office/drawing/2014/chart" uri="{C3380CC4-5D6E-409C-BE32-E72D297353CC}">
                <c16:uniqueId val="{00000003-1300-4081-B958-E0E660A6FB36}"/>
              </c:ext>
            </c:extLst>
          </c:dPt>
          <c:dPt>
            <c:idx val="4"/>
            <c:invertIfNegative val="0"/>
            <c:bubble3D val="0"/>
            <c:extLst>
              <c:ext xmlns:c16="http://schemas.microsoft.com/office/drawing/2014/chart" uri="{C3380CC4-5D6E-409C-BE32-E72D297353CC}">
                <c16:uniqueId val="{00000004-1300-4081-B958-E0E660A6FB36}"/>
              </c:ext>
            </c:extLst>
          </c:dPt>
          <c:dLbls>
            <c:dLbl>
              <c:idx val="0"/>
              <c:layout>
                <c:manualLayout>
                  <c:x val="-2.7777777777777905E-3"/>
                  <c:y val="-0.2460392971711869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00-4081-B958-E0E660A6FB36}"/>
                </c:ext>
              </c:extLst>
            </c:dLbl>
            <c:dLbl>
              <c:idx val="1"/>
              <c:layout>
                <c:manualLayout>
                  <c:x val="0"/>
                  <c:y val="-0.3053864100320793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00-4081-B958-E0E660A6FB36}"/>
                </c:ext>
              </c:extLst>
            </c:dLbl>
            <c:dLbl>
              <c:idx val="2"/>
              <c:layout>
                <c:manualLayout>
                  <c:x val="-4.1666666666667178E-3"/>
                  <c:y val="-0.1114288057742782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2055555555555557E-2"/>
                      <c:h val="0.10641221930592007"/>
                    </c:manualLayout>
                  </c15:layout>
                </c:ext>
                <c:ext xmlns:c16="http://schemas.microsoft.com/office/drawing/2014/chart" uri="{C3380CC4-5D6E-409C-BE32-E72D297353CC}">
                  <c16:uniqueId val="{00000002-1300-4081-B958-E0E660A6FB36}"/>
                </c:ext>
              </c:extLst>
            </c:dLbl>
            <c:dLbl>
              <c:idx val="3"/>
              <c:layout>
                <c:manualLayout>
                  <c:x val="0"/>
                  <c:y val="-0.1898811606882473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00-4081-B958-E0E660A6FB36}"/>
                </c:ext>
              </c:extLst>
            </c:dLbl>
            <c:dLbl>
              <c:idx val="4"/>
              <c:layout>
                <c:manualLayout>
                  <c:x val="0"/>
                  <c:y val="-0.1221864975211432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300-4081-B958-E0E660A6FB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'Sale by category'!$A$4:$A$9</c:f>
              <c:strCache>
                <c:ptCount val="5"/>
                <c:pt idx="0">
                  <c:v>Books</c:v>
                </c:pt>
                <c:pt idx="1">
                  <c:v>Clothing</c:v>
                </c:pt>
                <c:pt idx="2">
                  <c:v>Electronics</c:v>
                </c:pt>
                <c:pt idx="3">
                  <c:v>Home &amp; Garden</c:v>
                </c:pt>
                <c:pt idx="4">
                  <c:v>Toys</c:v>
                </c:pt>
              </c:strCache>
            </c:strRef>
          </c:cat>
          <c:val>
            <c:numRef>
              <c:f>'Sale by category'!$B$4:$B$9</c:f>
              <c:numCache>
                <c:formatCode>"$"#,##0</c:formatCode>
                <c:ptCount val="5"/>
                <c:pt idx="0">
                  <c:v>6370.5500000000011</c:v>
                </c:pt>
                <c:pt idx="1">
                  <c:v>8200.86</c:v>
                </c:pt>
                <c:pt idx="2">
                  <c:v>1170.94</c:v>
                </c:pt>
                <c:pt idx="3">
                  <c:v>4492.0599999999995</c:v>
                </c:pt>
                <c:pt idx="4">
                  <c:v>2227.6600000000003</c:v>
                </c:pt>
              </c:numCache>
            </c:numRef>
          </c:val>
          <c:extLst>
            <c:ext xmlns:c16="http://schemas.microsoft.com/office/drawing/2014/chart" uri="{C3380CC4-5D6E-409C-BE32-E72D297353CC}">
              <c16:uniqueId val="{00000005-1300-4081-B958-E0E660A6FB36}"/>
            </c:ext>
          </c:extLst>
        </c:ser>
        <c:dLbls>
          <c:dLblPos val="ctr"/>
          <c:showLegendKey val="0"/>
          <c:showVal val="1"/>
          <c:showCatName val="0"/>
          <c:showSerName val="0"/>
          <c:showPercent val="0"/>
          <c:showBubbleSize val="0"/>
        </c:dLbls>
        <c:gapWidth val="150"/>
        <c:overlap val="100"/>
        <c:axId val="1220566112"/>
        <c:axId val="343062128"/>
      </c:barChart>
      <c:catAx>
        <c:axId val="1220566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3062128"/>
        <c:crosses val="autoZero"/>
        <c:auto val="1"/>
        <c:lblAlgn val="ctr"/>
        <c:lblOffset val="100"/>
        <c:noMultiLvlLbl val="0"/>
      </c:catAx>
      <c:valAx>
        <c:axId val="343062128"/>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crossAx val="122056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[Lala lesson 8 (version 2).xlsx]Monthly Sales!PivotTable2</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 Trendline of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solidFill>
              <a:schemeClr val="accent5">
                <a:lumMod val="50000"/>
              </a:schemeClr>
            </a:solidFill>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Sales'!$B$3</c:f>
              <c:strCache>
                <c:ptCount val="1"/>
                <c:pt idx="0">
                  <c:v>Total</c:v>
                </c:pt>
              </c:strCache>
            </c:strRef>
          </c:tx>
          <c:spPr>
            <a:solidFill>
              <a:schemeClr val="accent5">
                <a:lumMod val="50000"/>
              </a:schemeClr>
            </a:solidFill>
            <a:ln>
              <a:solidFill>
                <a:schemeClr val="accent5">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"$"#,##0</c:formatCode>
                <c:ptCount val="12"/>
                <c:pt idx="0">
                  <c:v>2695.0699999999997</c:v>
                </c:pt>
                <c:pt idx="1">
                  <c:v>368.94999999999993</c:v>
                </c:pt>
                <c:pt idx="2">
                  <c:v>1740.35</c:v>
                </c:pt>
                <c:pt idx="3">
                  <c:v>1357.2199999999998</c:v>
                </c:pt>
                <c:pt idx="4">
                  <c:v>1868.9300000000003</c:v>
                </c:pt>
                <c:pt idx="5">
                  <c:v>1582.0900000000001</c:v>
                </c:pt>
                <c:pt idx="6">
                  <c:v>1443.4899999999998</c:v>
                </c:pt>
                <c:pt idx="7">
                  <c:v>3077.5100000000007</c:v>
                </c:pt>
                <c:pt idx="8">
                  <c:v>2615.8900000000003</c:v>
                </c:pt>
                <c:pt idx="9">
                  <c:v>1626.0400000000002</c:v>
                </c:pt>
                <c:pt idx="10">
                  <c:v>2671.0699999999997</c:v>
                </c:pt>
                <c:pt idx="11">
                  <c:v>1415.46</c:v>
                </c:pt>
              </c:numCache>
            </c:numRef>
          </c:val>
          <c:extLst>
            <c:ext xmlns:c16="http://schemas.microsoft.com/office/drawing/2014/chart" uri="{C3380CC4-5D6E-409C-BE32-E72D297353CC}">
              <c16:uniqueId val="{00000000-67EB-49B8-AC01-2D81410B0C98}"/>
            </c:ext>
          </c:extLst>
        </c:ser>
        <c:dLbls>
          <c:dLblPos val="outEnd"/>
          <c:showLegendKey val="0"/>
          <c:showVal val="1"/>
          <c:showCatName val="0"/>
          <c:showSerName val="0"/>
          <c:showPercent val="0"/>
          <c:showBubbleSize val="0"/>
        </c:dLbls>
        <c:gapWidth val="150"/>
        <c:axId val="105430191"/>
        <c:axId val="343138448"/>
      </c:barChart>
      <c:catAx>
        <c:axId val="10543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3138448"/>
        <c:crosses val="autoZero"/>
        <c:auto val="1"/>
        <c:lblAlgn val="ctr"/>
        <c:lblOffset val="100"/>
        <c:noMultiLvlLbl val="0"/>
      </c:catAx>
      <c:valAx>
        <c:axId val="343138448"/>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10543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Average sales amount</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'average sales per region'!$B$1</c:f>
              <c:strCache>
                <c:ptCount val="1"/>
                <c:pt idx="0">
                  <c:v>average sales amount</c:v>
                </c:pt>
              </c:strCache>
            </c:strRef>
          </c:tx>
          <c:dPt>
            <c:idx val="0"/>
            <c:bubble3D val="0"/>
            <c:spPr>
              <a:solidFill>
                <a:schemeClr val="accent5">
                  <a:shade val="5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6733-41B6-9EC4-A1B705BD91A4}"/>
              </c:ext>
            </c:extLst>
          </c:dPt>
          <c:dPt>
            <c:idx val="1"/>
            <c:bubble3D val="0"/>
            <c:spPr>
              <a:solidFill>
                <a:schemeClr val="accent5">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6733-41B6-9EC4-A1B705BD91A4}"/>
              </c:ext>
            </c:extLst>
          </c:dPt>
          <c:dPt>
            <c:idx val="2"/>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6733-41B6-9EC4-A1B705BD91A4}"/>
              </c:ext>
            </c:extLst>
          </c:dPt>
          <c:dPt>
            <c:idx val="3"/>
            <c:bubble3D val="0"/>
            <c:spPr>
              <a:solidFill>
                <a:schemeClr val="accent5">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6733-41B6-9EC4-A1B705BD91A4}"/>
              </c:ext>
            </c:extLst>
          </c:dPt>
          <c:dPt>
            <c:idx val="4"/>
            <c:bubble3D val="0"/>
            <c:spPr>
              <a:solidFill>
                <a:schemeClr val="accent5">
                  <a:tint val="5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6733-41B6-9EC4-A1B705BD91A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6733-41B6-9EC4-A1B705BD91A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6733-41B6-9EC4-A1B705BD91A4}"/>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6733-41B6-9EC4-A1B705BD91A4}"/>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6733-41B6-9EC4-A1B705BD91A4}"/>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6733-41B6-9EC4-A1B705BD91A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'average sales per region'!$A$2:$A$6</c:f>
              <c:strCache>
                <c:ptCount val="5"/>
                <c:pt idx="0">
                  <c:v>Central</c:v>
                </c:pt>
                <c:pt idx="1">
                  <c:v>South</c:v>
                </c:pt>
                <c:pt idx="2">
                  <c:v>West</c:v>
                </c:pt>
                <c:pt idx="3">
                  <c:v>East</c:v>
                </c:pt>
                <c:pt idx="4">
                  <c:v>North</c:v>
                </c:pt>
              </c:strCache>
            </c:strRef>
          </c:cat>
          <c:val>
            <c:numRef>
              <c:f>'average sales per region'!$B$2:$B$6</c:f>
              <c:numCache>
                <c:formatCode>General</c:formatCode>
                <c:ptCount val="5"/>
                <c:pt idx="0">
                  <c:v>261.67533333333336</c:v>
                </c:pt>
                <c:pt idx="1">
                  <c:v>259.55687499999999</c:v>
                </c:pt>
                <c:pt idx="2">
                  <c:v>219.94695652173917</c:v>
                </c:pt>
                <c:pt idx="3">
                  <c:v>211.52533333333332</c:v>
                </c:pt>
                <c:pt idx="4">
                  <c:v>198.46354838709678</c:v>
                </c:pt>
              </c:numCache>
            </c:numRef>
          </c:val>
          <c:extLst>
            <c:ext xmlns:c16="http://schemas.microsoft.com/office/drawing/2014/chart" uri="{C3380CC4-5D6E-409C-BE32-E72D297353CC}">
              <c16:uniqueId val="{00000000-6733-41B6-9EC4-A1B705BD91A4}"/>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[Lala lesson 8 (version 2).xlsx]Sale by category!PivotTable1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 amount by Product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solidFill>
              <a:schemeClr val="accent5">
                <a:lumMod val="50000"/>
              </a:schemeClr>
            </a:solidFill>
          </a:ln>
          <a:effectLst/>
        </c:spPr>
        <c:dLbl>
          <c:idx val="0"/>
          <c:layout>
            <c:manualLayout>
              <c:x val="0"/>
              <c:y val="-0.189881160688247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solidFill>
              <a:schemeClr val="accent5">
                <a:lumMod val="50000"/>
              </a:schemeClr>
            </a:solidFill>
          </a:ln>
          <a:effectLst/>
        </c:spPr>
        <c:dLbl>
          <c:idx val="0"/>
          <c:layout>
            <c:manualLayout>
              <c:x val="-4.1666666666667178E-3"/>
              <c:y val="-0.1114288057742782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2055555555555557E-2"/>
                  <c:h val="0.10641221930592007"/>
                </c:manualLayout>
              </c15:layout>
            </c:ext>
          </c:extLst>
        </c:dLbl>
      </c:pivotFmt>
      <c:pivotFmt>
        <c:idx val="3"/>
        <c:spPr>
          <a:solidFill>
            <a:schemeClr val="accent5">
              <a:lumMod val="50000"/>
            </a:schemeClr>
          </a:solidFill>
          <a:ln>
            <a:solidFill>
              <a:schemeClr val="accent5">
                <a:lumMod val="50000"/>
              </a:schemeClr>
            </a:solidFill>
          </a:ln>
          <a:effectLst/>
        </c:spPr>
        <c:dLbl>
          <c:idx val="0"/>
          <c:layout>
            <c:manualLayout>
              <c:x val="0"/>
              <c:y val="-0.122186497521143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solidFill>
              <a:schemeClr val="accent5">
                <a:lumMod val="50000"/>
              </a:schemeClr>
            </a:solidFill>
          </a:ln>
          <a:effectLst/>
        </c:spPr>
        <c:dLbl>
          <c:idx val="0"/>
          <c:layout>
            <c:manualLayout>
              <c:x val="0"/>
              <c:y val="-0.305386410032079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solidFill>
              <a:schemeClr val="accent5">
                <a:lumMod val="50000"/>
              </a:schemeClr>
            </a:solidFill>
          </a:ln>
          <a:effectLst/>
        </c:spPr>
        <c:dLbl>
          <c:idx val="0"/>
          <c:layout>
            <c:manualLayout>
              <c:x val="-2.7777777777777905E-3"/>
              <c:y val="-0.246039297171186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 by category'!$B$3</c:f>
              <c:strCache>
                <c:ptCount val="1"/>
                <c:pt idx="0">
                  <c:v>Total</c:v>
                </c:pt>
              </c:strCache>
            </c:strRef>
          </c:tx>
          <c:spPr>
            <a:solidFill>
              <a:schemeClr val="accent5">
                <a:lumMod val="50000"/>
              </a:schemeClr>
            </a:solidFill>
            <a:ln>
              <a:solidFill>
                <a:schemeClr val="accent5">
                  <a:lumMod val="50000"/>
                </a:schemeClr>
              </a:solidFill>
            </a:ln>
            <a:effectLst/>
          </c:spPr>
          <c:invertIfNegative val="0"/>
          <c:dPt>
            <c:idx val="0"/>
            <c:invertIfNegative val="0"/>
            <c:bubble3D val="0"/>
            <c:extLst>
              <c:ext xmlns:c16="http://schemas.microsoft.com/office/drawing/2014/chart" uri="{C3380CC4-5D6E-409C-BE32-E72D297353CC}">
                <c16:uniqueId val="{00000004-045C-47DB-A537-65FE4C795E81}"/>
              </c:ext>
            </c:extLst>
          </c:dPt>
          <c:dPt>
            <c:idx val="1"/>
            <c:invertIfNegative val="0"/>
            <c:bubble3D val="0"/>
            <c:extLst>
              <c:ext xmlns:c16="http://schemas.microsoft.com/office/drawing/2014/chart" uri="{C3380CC4-5D6E-409C-BE32-E72D297353CC}">
                <c16:uniqueId val="{00000003-045C-47DB-A537-65FE4C795E81}"/>
              </c:ext>
            </c:extLst>
          </c:dPt>
          <c:dPt>
            <c:idx val="2"/>
            <c:invertIfNegative val="0"/>
            <c:bubble3D val="0"/>
            <c:extLst>
              <c:ext xmlns:c16="http://schemas.microsoft.com/office/drawing/2014/chart" uri="{C3380CC4-5D6E-409C-BE32-E72D297353CC}">
                <c16:uniqueId val="{00000001-045C-47DB-A537-65FE4C795E81}"/>
              </c:ext>
            </c:extLst>
          </c:dPt>
          <c:dPt>
            <c:idx val="3"/>
            <c:invertIfNegative val="0"/>
            <c:bubble3D val="0"/>
            <c:extLst>
              <c:ext xmlns:c16="http://schemas.microsoft.com/office/drawing/2014/chart" uri="{C3380CC4-5D6E-409C-BE32-E72D297353CC}">
                <c16:uniqueId val="{00000000-045C-47DB-A537-65FE4C795E81}"/>
              </c:ext>
            </c:extLst>
          </c:dPt>
          <c:dPt>
            <c:idx val="4"/>
            <c:invertIfNegative val="0"/>
            <c:bubble3D val="0"/>
            <c:extLst>
              <c:ext xmlns:c16="http://schemas.microsoft.com/office/drawing/2014/chart" uri="{C3380CC4-5D6E-409C-BE32-E72D297353CC}">
                <c16:uniqueId val="{00000002-045C-47DB-A537-65FE4C795E81}"/>
              </c:ext>
            </c:extLst>
          </c:dPt>
          <c:dLbls>
            <c:dLbl>
              <c:idx val="0"/>
              <c:layout>
                <c:manualLayout>
                  <c:x val="-2.7777777777777905E-3"/>
                  <c:y val="-0.2460392971711869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5C-47DB-A537-65FE4C795E81}"/>
                </c:ext>
              </c:extLst>
            </c:dLbl>
            <c:dLbl>
              <c:idx val="1"/>
              <c:layout>
                <c:manualLayout>
                  <c:x val="0"/>
                  <c:y val="-0.3053864100320793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5C-47DB-A537-65FE4C795E81}"/>
                </c:ext>
              </c:extLst>
            </c:dLbl>
            <c:dLbl>
              <c:idx val="2"/>
              <c:layout>
                <c:manualLayout>
                  <c:x val="-4.1666666666667178E-3"/>
                  <c:y val="-0.1114288057742782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2055555555555557E-2"/>
                      <c:h val="0.10641221930592007"/>
                    </c:manualLayout>
                  </c15:layout>
                </c:ext>
                <c:ext xmlns:c16="http://schemas.microsoft.com/office/drawing/2014/chart" uri="{C3380CC4-5D6E-409C-BE32-E72D297353CC}">
                  <c16:uniqueId val="{00000001-045C-47DB-A537-65FE4C795E81}"/>
                </c:ext>
              </c:extLst>
            </c:dLbl>
            <c:dLbl>
              <c:idx val="3"/>
              <c:layout>
                <c:manualLayout>
                  <c:x val="0"/>
                  <c:y val="-0.1898811606882473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45C-47DB-A537-65FE4C795E81}"/>
                </c:ext>
              </c:extLst>
            </c:dLbl>
            <c:dLbl>
              <c:idx val="4"/>
              <c:layout>
                <c:manualLayout>
                  <c:x val="0"/>
                  <c:y val="-0.1221864975211432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45C-47DB-A537-65FE4C795E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'Sale by category'!$A$4:$A$9</c:f>
              <c:strCache>
                <c:ptCount val="5"/>
                <c:pt idx="0">
                  <c:v>Books</c:v>
                </c:pt>
                <c:pt idx="1">
                  <c:v>Clothing</c:v>
                </c:pt>
                <c:pt idx="2">
                  <c:v>Electronics</c:v>
                </c:pt>
                <c:pt idx="3">
                  <c:v>Home &amp; Garden</c:v>
                </c:pt>
                <c:pt idx="4">
                  <c:v>Toys</c:v>
                </c:pt>
              </c:strCache>
            </c:strRef>
          </c:cat>
          <c:val>
            <c:numRef>
              <c:f>'Sale by category'!$B$4:$B$9</c:f>
              <c:numCache>
                <c:formatCode>"$"#,##0</c:formatCode>
                <c:ptCount val="5"/>
                <c:pt idx="0">
                  <c:v>6370.5500000000011</c:v>
                </c:pt>
                <c:pt idx="1">
                  <c:v>8200.86</c:v>
                </c:pt>
                <c:pt idx="2">
                  <c:v>1170.94</c:v>
                </c:pt>
                <c:pt idx="3">
                  <c:v>4492.0599999999995</c:v>
                </c:pt>
                <c:pt idx="4">
                  <c:v>2227.6600000000003</c:v>
                </c:pt>
              </c:numCache>
            </c:numRef>
          </c:val>
          <c:extLst>
            <c:ext xmlns:c16="http://schemas.microsoft.com/office/drawing/2014/chart" uri="{C3380CC4-5D6E-409C-BE32-E72D297353CC}">
              <c16:uniqueId val="{00000000-789A-40DF-A55B-98E464EE793B}"/>
            </c:ext>
          </c:extLst>
        </c:ser>
        <c:dLbls>
          <c:dLblPos val="ctr"/>
          <c:showLegendKey val="0"/>
          <c:showVal val="1"/>
          <c:showCatName val="0"/>
          <c:showSerName val="0"/>
          <c:showPercent val="0"/>
          <c:showBubbleSize val="0"/>
        </c:dLbls>
        <c:gapWidth val="150"/>
        <c:overlap val="100"/>
        <c:axId val="1220566112"/>
        <c:axId val="343062128"/>
      </c:barChart>
      <c:catAx>
        <c:axId val="1220566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3062128"/>
        <c:crosses val="autoZero"/>
        <c:auto val="1"/>
        <c:lblAlgn val="ctr"/>
        <c:lblOffset val="100"/>
        <c:noMultiLvlLbl val="0"/>
      </c:catAx>
      <c:valAx>
        <c:axId val="343062128"/>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crossAx val="122056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[Lala lesson 8 (version 2).xlsx]Total sales by region!PivotTable3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'Total sales by region'!$B$3</c:f>
              <c:strCache>
                <c:ptCount val="1"/>
                <c:pt idx="0">
                  <c:v>Total</c:v>
                </c:pt>
              </c:strCache>
            </c:strRef>
          </c:tx>
          <c:spPr>
            <a:solidFill>
              <a:schemeClr val="accent5">
                <a:lumMod val="50000"/>
              </a:schemeClr>
            </a:solidFill>
            <a:ln>
              <a:solidFill>
                <a:schemeClr val="accent5">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 by region'!$A$4:$A$9</c:f>
              <c:strCache>
                <c:ptCount val="5"/>
                <c:pt idx="0">
                  <c:v>Central</c:v>
                </c:pt>
                <c:pt idx="1">
                  <c:v>East</c:v>
                </c:pt>
                <c:pt idx="2">
                  <c:v>North</c:v>
                </c:pt>
                <c:pt idx="3">
                  <c:v>South</c:v>
                </c:pt>
                <c:pt idx="4">
                  <c:v>West</c:v>
                </c:pt>
              </c:strCache>
            </c:strRef>
          </c:cat>
          <c:val>
            <c:numRef>
              <c:f>'Total sales by region'!$B$4:$B$9</c:f>
              <c:numCache>
                <c:formatCode>"$"#,##0.00</c:formatCode>
                <c:ptCount val="5"/>
                <c:pt idx="0">
                  <c:v>3925.13</c:v>
                </c:pt>
                <c:pt idx="1">
                  <c:v>3172.88</c:v>
                </c:pt>
                <c:pt idx="2">
                  <c:v>6152.3700000000008</c:v>
                </c:pt>
                <c:pt idx="3">
                  <c:v>4152.91</c:v>
                </c:pt>
                <c:pt idx="4">
                  <c:v>5058.7799999999988</c:v>
                </c:pt>
              </c:numCache>
            </c:numRef>
          </c:val>
          <c:extLst>
            <c:ext xmlns:c16="http://schemas.microsoft.com/office/drawing/2014/chart" uri="{C3380CC4-5D6E-409C-BE32-E72D297353CC}">
              <c16:uniqueId val="{00000000-8E38-4B67-AA8F-115E2D60F2FB}"/>
            </c:ext>
          </c:extLst>
        </c:ser>
        <c:dLbls>
          <c:showLegendKey val="0"/>
          <c:showVal val="0"/>
          <c:showCatName val="0"/>
          <c:showSerName val="0"/>
          <c:showPercent val="0"/>
          <c:showBubbleSize val="0"/>
        </c:dLbls>
        <c:gapWidth val="150"/>
        <c:overlap val="100"/>
        <c:axId val="1220599056"/>
        <c:axId val="343129328"/>
      </c:barChart>
      <c:catAx>
        <c:axId val="12205990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129328"/>
        <c:crosses val="autoZero"/>
        <c:auto val="1"/>
        <c:lblAlgn val="ctr"/>
        <c:lblOffset val="100"/>
        <c:noMultiLvlLbl val="0"/>
      </c:catAx>
      <c:valAx>
        <c:axId val="343129328"/>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12205990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[Lala lesson 8 (version 2).xlsx]Monthly Sales!PivotTable2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 Trendline of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Sales'!$B$3</c:f>
              <c:strCache>
                <c:ptCount val="1"/>
                <c:pt idx="0">
                  <c:v>Total</c:v>
                </c:pt>
              </c:strCache>
            </c:strRef>
          </c:tx>
          <c:spPr>
            <a:solidFill>
              <a:schemeClr val="accent5">
                <a:lumMod val="50000"/>
              </a:schemeClr>
            </a:solidFill>
            <a:ln>
              <a:solidFill>
                <a:schemeClr val="accent5">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"$"#,##0</c:formatCode>
                <c:ptCount val="12"/>
                <c:pt idx="0">
                  <c:v>2695.0699999999997</c:v>
                </c:pt>
                <c:pt idx="1">
                  <c:v>368.94999999999993</c:v>
                </c:pt>
                <c:pt idx="2">
                  <c:v>1740.35</c:v>
                </c:pt>
                <c:pt idx="3">
                  <c:v>1357.2199999999998</c:v>
                </c:pt>
                <c:pt idx="4">
                  <c:v>1868.9300000000003</c:v>
                </c:pt>
                <c:pt idx="5">
                  <c:v>1582.0900000000001</c:v>
                </c:pt>
                <c:pt idx="6">
                  <c:v>1443.4899999999998</c:v>
                </c:pt>
                <c:pt idx="7">
                  <c:v>3077.5100000000007</c:v>
                </c:pt>
                <c:pt idx="8">
                  <c:v>2615.8900000000003</c:v>
                </c:pt>
                <c:pt idx="9">
                  <c:v>1626.0400000000002</c:v>
                </c:pt>
                <c:pt idx="10">
                  <c:v>2671.0699999999997</c:v>
                </c:pt>
                <c:pt idx="11">
                  <c:v>1415.46</c:v>
                </c:pt>
              </c:numCache>
            </c:numRef>
          </c:val>
          <c:extLst>
            <c:ext xmlns:c16="http://schemas.microsoft.com/office/drawing/2014/chart" uri="{C3380CC4-5D6E-409C-BE32-E72D297353CC}">
              <c16:uniqueId val="{00000000-4268-4EDE-A977-F71BF265135D}"/>
            </c:ext>
          </c:extLst>
        </c:ser>
        <c:dLbls>
          <c:dLblPos val="outEnd"/>
          <c:showLegendKey val="0"/>
          <c:showVal val="1"/>
          <c:showCatName val="0"/>
          <c:showSerName val="0"/>
          <c:showPercent val="0"/>
          <c:showBubbleSize val="0"/>
        </c:dLbls>
        <c:gapWidth val="150"/>
        <c:axId val="105430191"/>
        <c:axId val="343138448"/>
      </c:barChart>
      <c:catAx>
        <c:axId val="10543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3138448"/>
        <c:crosses val="autoZero"/>
        <c:auto val="1"/>
        <c:lblAlgn val="ctr"/>
        <c:lblOffset val="100"/>
        <c:noMultiLvlLbl val="0"/>
      </c:catAx>
      <c:valAx>
        <c:axId val="343138448"/>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10543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Month-wise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'month-wise revenue'!$B$1</c:f>
              <c:strCache>
                <c:ptCount val="1"/>
                <c:pt idx="0">
                  <c:v>month-wise revenue</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'month-wise revenue'!$A$2:$A$13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'month-wise revenue'!$B$2:$B$13</c:f>
              <c:numCache>
                <c:formatCode>"$"#,##0</c:formatCode>
                <c:ptCount val="12"/>
                <c:pt idx="0">
                  <c:v>2695.0699999999997</c:v>
                </c:pt>
                <c:pt idx="1">
                  <c:v>368.94999999999993</c:v>
                </c:pt>
                <c:pt idx="2">
                  <c:v>1740.35</c:v>
                </c:pt>
                <c:pt idx="3">
                  <c:v>1357.2199999999998</c:v>
                </c:pt>
                <c:pt idx="4">
                  <c:v>1868.9300000000003</c:v>
                </c:pt>
                <c:pt idx="5">
                  <c:v>1582.0900000000001</c:v>
                </c:pt>
                <c:pt idx="6">
                  <c:v>1443.4899999999998</c:v>
                </c:pt>
                <c:pt idx="7">
                  <c:v>3077.5100000000007</c:v>
                </c:pt>
                <c:pt idx="8">
                  <c:v>2615.8900000000003</c:v>
                </c:pt>
                <c:pt idx="9">
                  <c:v>1626.0400000000002</c:v>
                </c:pt>
                <c:pt idx="10">
                  <c:v>2671.0699999999997</c:v>
                </c:pt>
                <c:pt idx="11">
                  <c:v>1415.46</c:v>
                </c:pt>
              </c:numCache>
            </c:numRef>
          </c:val>
          <c:extLst>
            <c:ext xmlns:c16="http://schemas.microsoft.com/office/drawing/2014/chart" uri="{C3380CC4-5D6E-409C-BE32-E72D297353CC}">
              <c16:uniqueId val="{00000000-4C9D-4F5F-B611-01C41D0F67F5}"/>
            </c:ext>
          </c:extLst>
        </c:ser>
        <c:dLbls>
          <c:showLegendKey val="0"/>
          <c:showVal val="0"/>
          <c:showCatName val="0"/>
          <c:showSerName val="0"/>
          <c:showPercent val="0"/>
          <c:showBubbleSize val="0"/>
        </c:dLbls>
        <c:gapWidth val="219"/>
        <c:overlap val="-27"/>
        <c:axId val="1822981471"/>
        <c:axId val="1364985135"/>
      </c:barChart>
      <c:catAx>
        <c:axId val="18229814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4985135"/>
        <c:crosses val="autoZero"/>
        <c:auto val="1"/>
        <c:lblAlgn val="ctr"/>
        <c:lblOffset val="100"/>
        <c:noMultiLvlLbl val="0"/>
      </c:catAx>
      <c:valAx>
        <c:axId val="1364985135"/>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crossAx val="18229814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8</xdr:col>
      <xdr:colOff>276272</xdr:colOff>
      <xdr:row>6</xdr:row>
      <xdr:rowOff>359227</xdr:rowOff>
    </xdr:from>
    <xdr:to>
      <xdr:col>11</xdr:col>
      <xdr:colOff>7325</xdr:colOff>
      <xdr:row>16</xdr:row>
      <xdr:rowOff>7107</xdr:rowOff>
    </xdr:to>
    <mc:AlternateContent xmlns:mc="http://schemas.openxmlformats.org/markup-compatibility/2006" xmlns:a14="http://schemas.microsoft.com/office/drawing/2010/main">
      <mc:Choice Requires="a14">
        <xdr:graphicFrame macro="">
          <xdr:nvGraphicFramePr>
            <xdr:cNvPr id="4" name="ProductName 3">
              <a:extLst>
                <a:ext uri="{FF2B5EF4-FFF2-40B4-BE49-F238E27FC236}">
                  <a16:creationId xmlns:a16="http://schemas.microsoft.com/office/drawing/2014/main" id="{AE5FCE97-5483-4C7A-BD53-68730FE412AD}"/>
                </a:ext>
              </a:extLst>
            </xdr:cNvPr>
            <xdr:cNvGraphicFramePr/>
          </xdr:nvGraphicFramePr>
          <xdr:xfrm>
            <a:off x="0" y="0"/>
            <a:ext cx="0" cy="0"/>
          </xdr:xfrm>
          <a:graphic>
            <a:graphicData uri="http://schemas.microsoft.com/office/drawing/2010/slicer">
              <sle:slicer xmlns:sle="http://schemas.microsoft.com/office/drawing/2010/slicer" name="ProductName 3"/>
            </a:graphicData>
          </a:graphic>
        </xdr:graphicFrame>
      </mc:Choice>
      <mc:Fallback xmlns="">
        <xdr:sp macro="" textlink="">
          <xdr:nvSpPr>
            <xdr:cNvPr id="0" name=""/>
            <xdr:cNvSpPr>
              <a:spLocks noTextEdit="1"/>
            </xdr:cNvSpPr>
          </xdr:nvSpPr>
          <xdr:spPr>
            <a:xfrm>
              <a:off x="9971869" y="1240645"/>
              <a:ext cx="1820867" cy="175901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478754</xdr:colOff>
      <xdr:row>24</xdr:row>
      <xdr:rowOff>150793</xdr:rowOff>
    </xdr:from>
    <xdr:to>
      <xdr:col>10</xdr:col>
      <xdr:colOff>632630</xdr:colOff>
      <xdr:row>41</xdr:row>
      <xdr:rowOff>26831</xdr:rowOff>
    </xdr:to>
    <xdr:graphicFrame macro="">
      <xdr:nvGraphicFramePr>
        <xdr:cNvPr id="5" name="Chart 4">
          <a:extLst>
            <a:ext uri="{FF2B5EF4-FFF2-40B4-BE49-F238E27FC236}">
              <a16:creationId xmlns:a16="http://schemas.microsoft.com/office/drawing/2014/main" id="{27C53B14-8041-4F2B-B1ED-39C7397A4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165130</xdr:colOff>
      <xdr:row>24</xdr:row>
      <xdr:rowOff>160985</xdr:rowOff>
    </xdr:from>
    <xdr:to>
      <xdr:col>5</xdr:col>
      <xdr:colOff>199029</xdr:colOff>
      <xdr:row>41</xdr:row>
      <xdr:rowOff>40246</xdr:rowOff>
    </xdr:to>
    <xdr:graphicFrame macro="">
      <xdr:nvGraphicFramePr>
        <xdr:cNvPr id="6" name="Chart 5">
          <a:extLst>
            <a:ext uri="{FF2B5EF4-FFF2-40B4-BE49-F238E27FC236}">
              <a16:creationId xmlns:a16="http://schemas.microsoft.com/office/drawing/2014/main" id="{BF8ED90F-E9B4-4A5F-9EBE-D9A85F9AD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2554750</xdr:colOff>
      <xdr:row>9</xdr:row>
      <xdr:rowOff>21323</xdr:rowOff>
    </xdr:from>
    <xdr:to>
      <xdr:col>8</xdr:col>
      <xdr:colOff>35541</xdr:colOff>
      <xdr:row>23</xdr:row>
      <xdr:rowOff>362519</xdr:rowOff>
    </xdr:to>
    <xdr:graphicFrame macro="">
      <xdr:nvGraphicFramePr>
        <xdr:cNvPr id="7" name="Chart 6">
          <a:extLst>
            <a:ext uri="{FF2B5EF4-FFF2-40B4-BE49-F238E27FC236}">
              <a16:creationId xmlns:a16="http://schemas.microsoft.com/office/drawing/2014/main" id="{52064234-FA69-4A95-80CD-125966991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429294</xdr:colOff>
      <xdr:row>9</xdr:row>
      <xdr:rowOff>14215</xdr:rowOff>
    </xdr:from>
    <xdr:to>
      <xdr:col>5</xdr:col>
      <xdr:colOff>2352817</xdr:colOff>
      <xdr:row>23</xdr:row>
      <xdr:rowOff>376736</xdr:rowOff>
    </xdr:to>
    <xdr:graphicFrame macro="">
      <xdr:nvGraphicFramePr>
        <xdr:cNvPr id="8" name="Chart 7">
          <a:extLst>
            <a:ext uri="{FF2B5EF4-FFF2-40B4-BE49-F238E27FC236}">
              <a16:creationId xmlns:a16="http://schemas.microsoft.com/office/drawing/2014/main" id="{FDBDE5E6-CFB2-4187-A2AF-3B6C15F3B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272214</xdr:colOff>
      <xdr:row>16</xdr:row>
      <xdr:rowOff>14417</xdr:rowOff>
    </xdr:from>
    <xdr:to>
      <xdr:col>11</xdr:col>
      <xdr:colOff>3591</xdr:colOff>
      <xdr:row>23</xdr:row>
      <xdr:rowOff>470091</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32029BB2-F71D-43ED-A46A-30A261F582A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967811" y="2978541"/>
              <a:ext cx="1821191" cy="169961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5</xdr:row>
      <xdr:rowOff>9525</xdr:rowOff>
    </xdr:from>
    <xdr:to>
      <xdr:col>8</xdr:col>
      <xdr:colOff>57150</xdr:colOff>
      <xdr:row>19</xdr:row>
      <xdr:rowOff>71442</xdr:rowOff>
    </xdr:to>
    <mc:AlternateContent xmlns:mc="http://schemas.openxmlformats.org/markup-compatibility/2006" xmlns:a14="http://schemas.microsoft.com/office/drawing/2010/main">
      <mc:Choice Requires="a14">
        <xdr:graphicFrame macro="">
          <xdr:nvGraphicFramePr>
            <xdr:cNvPr id="2" name="ProductName">
              <a:extLst>
                <a:ext uri="{FF2B5EF4-FFF2-40B4-BE49-F238E27FC236}">
                  <a16:creationId xmlns:a16="http://schemas.microsoft.com/office/drawing/2014/main" id="{87753903-C0FE-4E57-2084-E396E08F226F}"/>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4757738" y="914400"/>
              <a:ext cx="1828800" cy="2595567"/>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566689</xdr:colOff>
      <xdr:row>1</xdr:row>
      <xdr:rowOff>162983</xdr:rowOff>
    </xdr:from>
    <xdr:to>
      <xdr:col>10</xdr:col>
      <xdr:colOff>592667</xdr:colOff>
      <xdr:row>16</xdr:row>
      <xdr:rowOff>164138</xdr:rowOff>
    </xdr:to>
    <xdr:graphicFrame macro="">
      <xdr:nvGraphicFramePr>
        <xdr:cNvPr id="2" name="Chart 1">
          <a:extLst>
            <a:ext uri="{FF2B5EF4-FFF2-40B4-BE49-F238E27FC236}">
              <a16:creationId xmlns:a16="http://schemas.microsoft.com/office/drawing/2014/main" id="{F8538ACD-DBD7-5509-D78E-2E3EBF3D8A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504825</xdr:colOff>
      <xdr:row>2</xdr:row>
      <xdr:rowOff>9524</xdr:rowOff>
    </xdr:from>
    <xdr:to>
      <xdr:col>9</xdr:col>
      <xdr:colOff>481013</xdr:colOff>
      <xdr:row>17</xdr:row>
      <xdr:rowOff>38099</xdr:rowOff>
    </xdr:to>
    <xdr:graphicFrame macro="">
      <xdr:nvGraphicFramePr>
        <xdr:cNvPr id="2" name="Chart 1">
          <a:extLst>
            <a:ext uri="{FF2B5EF4-FFF2-40B4-BE49-F238E27FC236}">
              <a16:creationId xmlns:a16="http://schemas.microsoft.com/office/drawing/2014/main" id="{4CCD23E7-243A-63EB-BEEF-7A126ABA3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114300</xdr:colOff>
      <xdr:row>2</xdr:row>
      <xdr:rowOff>57150</xdr:rowOff>
    </xdr:from>
    <xdr:to>
      <xdr:col>12</xdr:col>
      <xdr:colOff>609600</xdr:colOff>
      <xdr:row>16</xdr:row>
      <xdr:rowOff>119067</xdr:rowOff>
    </xdr:to>
    <mc:AlternateContent xmlns:mc="http://schemas.openxmlformats.org/markup-compatibility/2006" xmlns:a14="http://schemas.microsoft.com/office/drawing/2010/main">
      <mc:Choice Requires="a14">
        <xdr:graphicFrame macro="">
          <xdr:nvGraphicFramePr>
            <xdr:cNvPr id="4" name="ProductName 4">
              <a:extLst>
                <a:ext uri="{FF2B5EF4-FFF2-40B4-BE49-F238E27FC236}">
                  <a16:creationId xmlns:a16="http://schemas.microsoft.com/office/drawing/2014/main" id="{2CA3A961-A226-A965-D1FD-4E1EB9351508}"/>
                </a:ext>
              </a:extLst>
            </xdr:cNvPr>
            <xdr:cNvGraphicFramePr/>
          </xdr:nvGraphicFramePr>
          <xdr:xfrm>
            <a:off x="0" y="0"/>
            <a:ext cx="0" cy="0"/>
          </xdr:xfrm>
          <a:graphic>
            <a:graphicData uri="http://schemas.microsoft.com/office/drawing/2010/slicer">
              <sle:slicer xmlns:sle="http://schemas.microsoft.com/office/drawing/2010/slicer" name="ProductName 4"/>
            </a:graphicData>
          </a:graphic>
        </xdr:graphicFrame>
      </mc:Choice>
      <mc:Fallback xmlns="">
        <xdr:sp macro="" textlink="">
          <xdr:nvSpPr>
            <xdr:cNvPr id="0" name=""/>
            <xdr:cNvSpPr>
              <a:spLocks noTextEdit="1"/>
            </xdr:cNvSpPr>
          </xdr:nvSpPr>
          <xdr:spPr>
            <a:xfrm>
              <a:off x="7620000" y="419100"/>
              <a:ext cx="1828800" cy="2595567"/>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228600</xdr:colOff>
      <xdr:row>2</xdr:row>
      <xdr:rowOff>23814</xdr:rowOff>
    </xdr:from>
    <xdr:to>
      <xdr:col>16</xdr:col>
      <xdr:colOff>242887</xdr:colOff>
      <xdr:row>11</xdr:row>
      <xdr:rowOff>128589</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CDF39359-28F7-5CE5-7C73-3A368DB962B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734550" y="385764"/>
              <a:ext cx="1828800" cy="17335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9525</xdr:colOff>
      <xdr:row>2</xdr:row>
      <xdr:rowOff>23813</xdr:rowOff>
    </xdr:from>
    <xdr:to>
      <xdr:col>9</xdr:col>
      <xdr:colOff>138113</xdr:colOff>
      <xdr:row>17</xdr:row>
      <xdr:rowOff>52388</xdr:rowOff>
    </xdr:to>
    <xdr:graphicFrame macro="">
      <xdr:nvGraphicFramePr>
        <xdr:cNvPr id="2" name="Chart 1">
          <a:extLst>
            <a:ext uri="{FF2B5EF4-FFF2-40B4-BE49-F238E27FC236}">
              <a16:creationId xmlns:a16="http://schemas.microsoft.com/office/drawing/2014/main" id="{F17F3806-0AD6-66A5-D81E-3913908CB6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633413</xdr:colOff>
      <xdr:row>2</xdr:row>
      <xdr:rowOff>47626</xdr:rowOff>
    </xdr:from>
    <xdr:to>
      <xdr:col>12</xdr:col>
      <xdr:colOff>519113</xdr:colOff>
      <xdr:row>10</xdr:row>
      <xdr:rowOff>19050</xdr:rowOff>
    </xdr:to>
    <mc:AlternateContent xmlns:mc="http://schemas.openxmlformats.org/markup-compatibility/2006" xmlns:a14="http://schemas.microsoft.com/office/drawing/2010/main">
      <mc:Choice Requires="a14">
        <xdr:graphicFrame macro="">
          <xdr:nvGraphicFramePr>
            <xdr:cNvPr id="3" name="ProductName 2">
              <a:extLst>
                <a:ext uri="{FF2B5EF4-FFF2-40B4-BE49-F238E27FC236}">
                  <a16:creationId xmlns:a16="http://schemas.microsoft.com/office/drawing/2014/main" id="{C651A17A-2E93-77ED-20BA-0EBABC929943}"/>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ProductName 2"/>
            </a:graphicData>
          </a:graphic>
        </xdr:graphicFrame>
      </mc:Choice>
      <mc:Fallback xmlns="">
        <xdr:sp macro="" textlink="">
          <xdr:nvSpPr>
            <xdr:cNvPr id="0" name=""/>
            <xdr:cNvSpPr>
              <a:spLocks noTextEdit="1"/>
            </xdr:cNvSpPr>
          </xdr:nvSpPr>
          <xdr:spPr>
            <a:xfrm>
              <a:off x="7939088" y="409576"/>
              <a:ext cx="1828800" cy="1419224"/>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76200</xdr:colOff>
      <xdr:row>1</xdr:row>
      <xdr:rowOff>176213</xdr:rowOff>
    </xdr:from>
    <xdr:to>
      <xdr:col>11</xdr:col>
      <xdr:colOff>228600</xdr:colOff>
      <xdr:row>17</xdr:row>
      <xdr:rowOff>23813</xdr:rowOff>
    </xdr:to>
    <xdr:graphicFrame macro="">
      <xdr:nvGraphicFramePr>
        <xdr:cNvPr id="2" name="Chart 1">
          <a:extLst>
            <a:ext uri="{FF2B5EF4-FFF2-40B4-BE49-F238E27FC236}">
              <a16:creationId xmlns:a16="http://schemas.microsoft.com/office/drawing/2014/main" id="{F644912C-6B2E-9750-293A-05FD3055E4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233363</xdr:colOff>
      <xdr:row>2</xdr:row>
      <xdr:rowOff>119063</xdr:rowOff>
    </xdr:from>
    <xdr:to>
      <xdr:col>14</xdr:col>
      <xdr:colOff>804863</xdr:colOff>
      <xdr:row>17</xdr:row>
      <xdr:rowOff>5</xdr:rowOff>
    </xdr:to>
    <mc:AlternateContent xmlns:mc="http://schemas.openxmlformats.org/markup-compatibility/2006" xmlns:a14="http://schemas.microsoft.com/office/drawing/2010/main">
      <mc:Choice Requires="a14">
        <xdr:graphicFrame macro="">
          <xdr:nvGraphicFramePr>
            <xdr:cNvPr id="4" name="ProductName 1">
              <a:extLst>
                <a:ext uri="{FF2B5EF4-FFF2-40B4-BE49-F238E27FC236}">
                  <a16:creationId xmlns:a16="http://schemas.microsoft.com/office/drawing/2014/main" id="{F9909880-E9DC-842C-8CCE-BE8401BF6610}"/>
                </a:ext>
              </a:extLst>
            </xdr:cNvPr>
            <xdr:cNvGraphicFramePr/>
          </xdr:nvGraphicFramePr>
          <xdr:xfrm>
            <a:off x="0" y="0"/>
            <a:ext cx="0" cy="0"/>
          </xdr:xfrm>
          <a:graphic>
            <a:graphicData uri="http://schemas.microsoft.com/office/drawing/2010/slicer">
              <sle:slicer xmlns:sle="http://schemas.microsoft.com/office/drawing/2010/slicer" name="ProductName 1"/>
            </a:graphicData>
          </a:graphic>
        </xdr:graphicFrame>
      </mc:Choice>
      <mc:Fallback xmlns="">
        <xdr:sp macro="" textlink="">
          <xdr:nvSpPr>
            <xdr:cNvPr id="0" name=""/>
            <xdr:cNvSpPr>
              <a:spLocks noTextEdit="1"/>
            </xdr:cNvSpPr>
          </xdr:nvSpPr>
          <xdr:spPr>
            <a:xfrm>
              <a:off x="7710488" y="481013"/>
              <a:ext cx="1828800" cy="2595567"/>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535781</xdr:colOff>
      <xdr:row>3</xdr:row>
      <xdr:rowOff>47625</xdr:rowOff>
    </xdr:from>
    <xdr:to>
      <xdr:col>11</xdr:col>
      <xdr:colOff>573881</xdr:colOff>
      <xdr:row>18</xdr:row>
      <xdr:rowOff>76200</xdr:rowOff>
    </xdr:to>
    <xdr:graphicFrame macro="">
      <xdr:nvGraphicFramePr>
        <xdr:cNvPr id="2" name="Chart 1">
          <a:extLst>
            <a:ext uri="{FF2B5EF4-FFF2-40B4-BE49-F238E27FC236}">
              <a16:creationId xmlns:a16="http://schemas.microsoft.com/office/drawing/2014/main" id="{C501E00F-ED1B-8947-C665-DAEED49A80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id" refreshedDate="46267.999545254628" createdVersion="8" refreshedVersion="8" minRefreshableVersion="3" recordCount="100" xr:uid="{45BE900D-8564-4AA5-B710-2B9CB6CE9810}">
  <cacheSource type="worksheet">
    <worksheetSource ref="A1:M101" sheet="Consolidated_Sales_Data"/>
  </cacheSource>
  <cacheFields count="15">
    <cacheField name="SaleID" numFmtId="0">
      <sharedItems/>
    </cacheField>
    <cacheField name="SaleDate" numFmtId="164">
      <sharedItems containsSemiMixedTypes="0" containsNonDate="0" containsDate="1" containsString="0" minDate="2023-01-01T15:58:59" maxDate="2023-12-30T13:48:40" count="100">
        <d v="2023-06-14T03:40:25"/>
        <d v="2023-03-09T06:44:32"/>
        <d v="2023-03-18T02:04:52"/>
        <d v="2023-04-11T12:22:15"/>
        <d v="2023-06-06T22:29:20"/>
        <d v="2023-09-15T17:36:49"/>
        <d v="2023-03-27T09:22:40"/>
        <d v="2023-05-26T07:12:39"/>
        <d v="2023-03-06T07:02:51"/>
        <d v="2023-05-01T23:46:55"/>
        <d v="2023-10-16T06:42:45"/>
        <d v="2023-02-03T17:59:23"/>
        <d v="2023-10-15T02:24:43"/>
        <d v="2023-08-06T04:34:37"/>
        <d v="2023-08-10T22:35:09"/>
        <d v="2023-09-02T04:31:08"/>
        <d v="2023-01-29T03:53:59"/>
        <d v="2023-12-16T09:40:22"/>
        <d v="2023-03-28T09:37:39"/>
        <d v="2023-02-23T11:23:51"/>
        <d v="2023-11-11T18:50:41"/>
        <d v="2023-09-27T07:58:43"/>
        <d v="2023-10-21T09:32:37"/>
        <d v="2023-04-29T05:43:43"/>
        <d v="2023-08-24T19:52:00"/>
        <d v="2023-08-01T18:30:31"/>
        <d v="2023-06-23T15:55:27"/>
        <d v="2023-06-30T13:57:08"/>
        <d v="2023-11-28T07:40:27"/>
        <d v="2023-12-20T18:16:04"/>
        <d v="2023-07-16T20:46:00"/>
        <d v="2023-08-27T00:05:16"/>
        <d v="2023-09-24T09:14:18"/>
        <d v="2023-03-27T04:41:41"/>
        <d v="2023-09-21T13:47:46"/>
        <d v="2023-08-26T11:16:06"/>
        <d v="2023-05-07T04:38:29"/>
        <d v="2023-12-30T13:48:40"/>
        <d v="2023-11-11T21:30:47"/>
        <d v="2023-09-07T17:23:01"/>
        <d v="2023-03-05T17:17:51"/>
        <d v="2023-12-06T13:20:28"/>
        <d v="2023-08-27T10:37:44"/>
        <d v="2023-01-26T20:11:45"/>
        <d v="2023-09-11T06:13:31"/>
        <d v="2023-02-28T11:24:49"/>
        <d v="2023-09-14T05:56:04"/>
        <d v="2023-06-05T18:36:50"/>
        <d v="2023-12-30T11:12:03"/>
        <d v="2023-04-24T15:07:26"/>
        <d v="2023-10-28T12:50:22"/>
        <d v="2023-10-27T15:30:51"/>
        <d v="2023-05-12T15:14:19"/>
        <d v="2023-08-09T02:18:23"/>
        <d v="2023-10-20T01:35:27"/>
        <d v="2023-11-10T01:52:26"/>
        <d v="2023-11-26T15:02:12"/>
        <d v="2023-07-30T12:08:31"/>
        <d v="2023-07-14T02:33:58"/>
        <d v="2023-01-04T01:58:36"/>
        <d v="2023-03-12T08:59:11"/>
        <d v="2023-04-09T21:27:45"/>
        <d v="2023-04-03T02:50:46"/>
        <d v="2023-11-06T02:24:37"/>
        <d v="2023-09-09T05:46:42"/>
        <d v="2023-11-22T03:27:39"/>
        <d v="2023-05-30T13:30:36"/>
        <d v="2023-01-17T03:26:10"/>
        <d v="2023-10-24T11:33:31"/>
        <d v="2023-09-17T06:36:30"/>
        <d v="2023-04-06T01:48:13"/>
        <d v="2023-11-01T11:53:28"/>
        <d v="2023-04-30T16:43:11"/>
        <d v="2023-12-12T19:19:27"/>
        <d v="2023-07-25T03:49:30"/>
        <d v="2023-11-11T07:56:55"/>
        <d v="2023-07-16T10:00:45"/>
        <d v="2023-10-17T01:13:55"/>
        <d v="2023-01-01T15:58:59"/>
        <d v="2023-05-01T01:22:00"/>
        <d v="2023-09-05T15:53:03"/>
        <d v="2023-11-18T07:25:29"/>
        <d v="2023-09-22T02:04:12"/>
        <d v="2023-08-20T11:20:48"/>
        <d v="2023-05-07T01:51:22"/>
        <d v="2023-09-28T17:02:53"/>
        <d v="2023-07-06T07:35:10"/>
        <d v="2023-02-08T05:32:30"/>
        <d v="2023-08-23T13:11:50"/>
        <d v="2023-10-11T07:25:34"/>
        <d v="2023-11-02T03:11:29"/>
        <d v="2023-08-02T02:10:02"/>
        <d v="2023-03-05T12:14:17"/>
        <d v="2023-03-16T12:09:56"/>
        <d v="2023-01-02T07:39:15"/>
        <d v="2023-05-26T18:12:05"/>
        <d v="2023-01-19T05:57:44"/>
        <d v="2023-08-16T16:18:23"/>
        <d v="2023-07-10T07:14:08"/>
        <d v="2023-01-16T03:49:43"/>
      </sharedItems>
      <fieldGroup par="14"/>
    </cacheField>
    <cacheField name="Sale date" numFmtId="0">
      <sharedItems containsSemiMixedTypes="0" containsString="0" containsNumber="1" containsInteger="1" minValue="1" maxValue="30"/>
    </cacheField>
    <cacheField name="SaleMonth" numFmtId="0">
      <sharedItems containsSemiMixedTypes="0" containsString="0" containsNumber="1" containsInteger="1" minValue="1" maxValue="12" count="12">
        <n v="6"/>
        <n v="3"/>
        <n v="4"/>
        <n v="9"/>
        <n v="5"/>
        <n v="10"/>
        <n v="2"/>
        <n v="8"/>
        <n v="1"/>
        <n v="12"/>
        <n v="11"/>
        <n v="7"/>
      </sharedItems>
    </cacheField>
    <cacheField name="SaleYear" numFmtId="0">
      <sharedItems containsSemiMixedTypes="0" containsString="0" containsNumber="1" containsInteger="1" minValue="2023" maxValue="2023"/>
    </cacheField>
    <cacheField name="ProductName" numFmtId="0">
      <sharedItems count="20">
        <s v="Product 6"/>
        <s v="Product 2"/>
        <s v="Product 7"/>
        <s v="Product 4"/>
        <s v="Product 10"/>
        <s v="Product 5"/>
        <s v="Product 17"/>
        <s v="Product 15"/>
        <s v="Product 8"/>
        <s v="Product 14"/>
        <s v="Product 9"/>
        <s v="Product 18"/>
        <s v="Product 12"/>
        <s v="Product 0"/>
        <s v="Product 3"/>
        <s v="Product 11"/>
        <s v="Product 16"/>
        <s v="Product 13"/>
        <s v="Product 19"/>
        <s v="Product 1"/>
      </sharedItems>
    </cacheField>
    <cacheField name="Category" numFmtId="0">
      <sharedItems count="5">
        <s v="Clothing"/>
        <s v="Home &amp; Garden"/>
        <s v="Toys"/>
        <s v="Books"/>
        <s v="Electronics"/>
      </sharedItems>
    </cacheField>
    <cacheField name="Price" numFmtId="0">
      <sharedItems containsSemiMixedTypes="0" containsString="0" containsNumber="1" minValue="20.389500000000002" maxValue="89.156599999999997"/>
    </cacheField>
    <cacheField name="Quantity" numFmtId="0">
      <sharedItems containsSemiMixedTypes="0" containsString="0" containsNumber="1" containsInteger="1" minValue="1" maxValue="5"/>
    </cacheField>
    <cacheField name="SaleAmount" numFmtId="0">
      <sharedItems containsSemiMixedTypes="0" containsString="0" containsNumber="1" minValue="20.39" maxValue="445.78"/>
    </cacheField>
    <cacheField name="CustomerName" numFmtId="0">
      <sharedItems/>
    </cacheField>
    <cacheField name="Region" numFmtId="0">
      <sharedItems count="5">
        <s v="West"/>
        <s v="North"/>
        <s v="Central"/>
        <s v="South"/>
        <s v="East"/>
      </sharedItems>
    </cacheField>
    <cacheField name="JoinDate" numFmtId="22">
      <sharedItems containsSemiMixedTypes="0" containsNonDate="0" containsDate="1" containsString="0" minDate="2020-01-14T02:38:43" maxDate="2022-12-15T00:51:36"/>
    </cacheField>
    <cacheField name="Days (SaleDate)" numFmtId="0" databaseField="0">
      <fieldGroup base="1">
        <rangePr groupBy="days" startDate="2023-01-01T15:58:59" endDate="2023-12-30T13:48:4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23"/>
        </groupItems>
      </fieldGroup>
    </cacheField>
    <cacheField name="Months (SaleDate)" numFmtId="0" databaseField="0">
      <fieldGroup base="1">
        <rangePr groupBy="months" startDate="2023-01-01T15:58:59" endDate="2023-12-30T13:48:40"/>
        <groupItems count="14">
          <s v="&lt;1/1/2023"/>
          <s v="Jan"/>
          <s v="Feb"/>
          <s v="Mar"/>
          <s v="Apr"/>
          <s v="May"/>
          <s v="Jun"/>
          <s v="Jul"/>
          <s v="Aug"/>
          <s v="Sep"/>
          <s v="Oct"/>
          <s v="Nov"/>
          <s v="Dec"/>
          <s v="&gt;12/30/2023"/>
        </groupItems>
      </fieldGroup>
    </cacheField>
  </cacheFields>
  <extLst>
    <ext xmlns:x14="http://schemas.microsoft.com/office/spreadsheetml/2009/9/main" uri="{725AE2AE-9491-48be-B2B4-4EB974FC3084}">
      <x14:pivotCacheDefinition pivotCacheId="1503068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S1000"/>
    <x v="0"/>
    <n v="14"/>
    <x v="0"/>
    <n v="2023"/>
    <x v="0"/>
    <x v="0"/>
    <n v="84.044300000000007"/>
    <n v="5"/>
    <n v="420.22"/>
    <s v="Customer 8"/>
    <x v="0"/>
    <d v="2022-01-18T17:27:26"/>
  </r>
  <r>
    <s v="S1001"/>
    <x v="1"/>
    <n v="9"/>
    <x v="1"/>
    <n v="2023"/>
    <x v="1"/>
    <x v="1"/>
    <n v="80.159000000000006"/>
    <n v="2"/>
    <n v="160.32"/>
    <s v="Customer 1"/>
    <x v="0"/>
    <d v="2021-10-05T00:14:42"/>
  </r>
  <r>
    <s v="S1002"/>
    <x v="2"/>
    <n v="18"/>
    <x v="1"/>
    <n v="2023"/>
    <x v="2"/>
    <x v="0"/>
    <n v="79.285700000000006"/>
    <n v="5"/>
    <n v="396.43"/>
    <s v="Customer 22"/>
    <x v="1"/>
    <d v="2021-06-12T02:25:44"/>
  </r>
  <r>
    <s v="S1003"/>
    <x v="3"/>
    <n v="11"/>
    <x v="2"/>
    <n v="2023"/>
    <x v="3"/>
    <x v="1"/>
    <n v="62.581000000000003"/>
    <n v="5"/>
    <n v="312.89999999999998"/>
    <s v="Customer 49"/>
    <x v="2"/>
    <d v="2020-11-18T19:49:28"/>
  </r>
  <r>
    <s v="S1004"/>
    <x v="4"/>
    <n v="6"/>
    <x v="0"/>
    <n v="2023"/>
    <x v="4"/>
    <x v="0"/>
    <n v="83.506699999999995"/>
    <n v="5"/>
    <n v="417.53"/>
    <s v="Customer 19"/>
    <x v="1"/>
    <d v="2020-11-16T22:26:16"/>
  </r>
  <r>
    <s v="S1005"/>
    <x v="5"/>
    <n v="15"/>
    <x v="3"/>
    <n v="2023"/>
    <x v="5"/>
    <x v="2"/>
    <n v="58.258899999999997"/>
    <n v="3"/>
    <n v="174.78"/>
    <s v="Customer 32"/>
    <x v="3"/>
    <d v="2021-02-16T16:53:11"/>
  </r>
  <r>
    <s v="S1006"/>
    <x v="6"/>
    <n v="27"/>
    <x v="1"/>
    <n v="2023"/>
    <x v="6"/>
    <x v="3"/>
    <n v="29.791499999999999"/>
    <n v="3"/>
    <n v="89.37"/>
    <s v="Customer 33"/>
    <x v="2"/>
    <d v="2020-08-30T03:36:09"/>
  </r>
  <r>
    <s v="S1007"/>
    <x v="7"/>
    <n v="26"/>
    <x v="4"/>
    <n v="2023"/>
    <x v="1"/>
    <x v="1"/>
    <n v="80.159000000000006"/>
    <n v="5"/>
    <n v="400.79"/>
    <s v="Customer 37"/>
    <x v="1"/>
    <d v="2022-06-22T15:58:05"/>
  </r>
  <r>
    <s v="S1008"/>
    <x v="8"/>
    <n v="6"/>
    <x v="1"/>
    <n v="2023"/>
    <x v="7"/>
    <x v="0"/>
    <n v="88.902799999999999"/>
    <n v="2"/>
    <n v="177.81"/>
    <s v="Customer 32"/>
    <x v="3"/>
    <d v="2021-02-16T16:53:11"/>
  </r>
  <r>
    <s v="S1009"/>
    <x v="9"/>
    <n v="1"/>
    <x v="4"/>
    <n v="2023"/>
    <x v="1"/>
    <x v="1"/>
    <n v="80.159000000000006"/>
    <n v="4"/>
    <n v="320.64"/>
    <s v="Customer 27"/>
    <x v="2"/>
    <d v="2021-12-17T15:00:08"/>
  </r>
  <r>
    <s v="S1010"/>
    <x v="10"/>
    <n v="16"/>
    <x v="5"/>
    <n v="2023"/>
    <x v="8"/>
    <x v="1"/>
    <n v="61.2789"/>
    <n v="5"/>
    <n v="306.39"/>
    <s v="Customer 25"/>
    <x v="0"/>
    <d v="2022-03-19T20:15:52"/>
  </r>
  <r>
    <s v="S1011"/>
    <x v="11"/>
    <n v="3"/>
    <x v="6"/>
    <n v="2023"/>
    <x v="9"/>
    <x v="4"/>
    <n v="26.460100000000001"/>
    <n v="3"/>
    <n v="79.38"/>
    <s v="Customer 31"/>
    <x v="1"/>
    <d v="2020-09-29T07:23:36"/>
  </r>
  <r>
    <s v="S1012"/>
    <x v="12"/>
    <n v="15"/>
    <x v="5"/>
    <n v="2023"/>
    <x v="6"/>
    <x v="3"/>
    <n v="29.791499999999999"/>
    <n v="3"/>
    <n v="89.37"/>
    <s v="Customer 33"/>
    <x v="2"/>
    <d v="2020-08-30T03:36:09"/>
  </r>
  <r>
    <s v="S1013"/>
    <x v="13"/>
    <n v="6"/>
    <x v="7"/>
    <n v="2023"/>
    <x v="10"/>
    <x v="2"/>
    <n v="85.995400000000004"/>
    <n v="3"/>
    <n v="257.99"/>
    <s v="Customer 47"/>
    <x v="4"/>
    <d v="2021-11-22T09:03:43"/>
  </r>
  <r>
    <s v="S1014"/>
    <x v="14"/>
    <n v="10"/>
    <x v="7"/>
    <n v="2023"/>
    <x v="11"/>
    <x v="3"/>
    <n v="89.156599999999997"/>
    <n v="5"/>
    <n v="445.78"/>
    <s v="Customer 48"/>
    <x v="2"/>
    <d v="2020-06-11T18:17:54"/>
  </r>
  <r>
    <s v="S1015"/>
    <x v="15"/>
    <n v="2"/>
    <x v="3"/>
    <n v="2023"/>
    <x v="12"/>
    <x v="4"/>
    <n v="57.650599999999997"/>
    <n v="1"/>
    <n v="57.65"/>
    <s v="Customer 31"/>
    <x v="1"/>
    <d v="2020-09-29T07:23:36"/>
  </r>
  <r>
    <s v="S1016"/>
    <x v="16"/>
    <n v="29"/>
    <x v="8"/>
    <n v="2023"/>
    <x v="10"/>
    <x v="2"/>
    <n v="85.995400000000004"/>
    <n v="3"/>
    <n v="257.99"/>
    <s v="Customer 21"/>
    <x v="0"/>
    <d v="2021-06-14T23:19:57"/>
  </r>
  <r>
    <s v="S1017"/>
    <x v="17"/>
    <n v="16"/>
    <x v="9"/>
    <n v="2023"/>
    <x v="2"/>
    <x v="0"/>
    <n v="79.285700000000006"/>
    <n v="5"/>
    <n v="396.43"/>
    <s v="Customer 5"/>
    <x v="3"/>
    <d v="2022-09-24T04:20:12"/>
  </r>
  <r>
    <s v="S1018"/>
    <x v="18"/>
    <n v="28"/>
    <x v="1"/>
    <n v="2023"/>
    <x v="5"/>
    <x v="2"/>
    <n v="58.258899999999997"/>
    <n v="4"/>
    <n v="233.04"/>
    <s v="Customer 36"/>
    <x v="1"/>
    <d v="2020-11-05T09:39:56"/>
  </r>
  <r>
    <s v="S1019"/>
    <x v="19"/>
    <n v="23"/>
    <x v="6"/>
    <n v="2023"/>
    <x v="8"/>
    <x v="1"/>
    <n v="61.2789"/>
    <n v="1"/>
    <n v="61.28"/>
    <s v="Customer 30"/>
    <x v="2"/>
    <d v="2022-02-09T00:20:07"/>
  </r>
  <r>
    <s v="S1020"/>
    <x v="20"/>
    <n v="11"/>
    <x v="10"/>
    <n v="2023"/>
    <x v="3"/>
    <x v="1"/>
    <n v="62.581000000000003"/>
    <n v="4"/>
    <n v="250.32"/>
    <s v="Customer 19"/>
    <x v="1"/>
    <d v="2020-11-16T22:26:16"/>
  </r>
  <r>
    <s v="S1021"/>
    <x v="21"/>
    <n v="27"/>
    <x v="3"/>
    <n v="2023"/>
    <x v="13"/>
    <x v="1"/>
    <n v="72.222800000000007"/>
    <n v="1"/>
    <n v="72.22"/>
    <s v="Customer 17"/>
    <x v="1"/>
    <d v="2021-09-08T06:34:17"/>
  </r>
  <r>
    <s v="S1022"/>
    <x v="22"/>
    <n v="21"/>
    <x v="5"/>
    <n v="2023"/>
    <x v="11"/>
    <x v="3"/>
    <n v="89.156599999999997"/>
    <n v="3"/>
    <n v="267.47000000000003"/>
    <s v="Customer 21"/>
    <x v="0"/>
    <d v="2021-06-14T23:19:57"/>
  </r>
  <r>
    <s v="S1023"/>
    <x v="23"/>
    <n v="29"/>
    <x v="2"/>
    <n v="2023"/>
    <x v="14"/>
    <x v="3"/>
    <n v="53.051900000000003"/>
    <n v="4"/>
    <n v="212.21"/>
    <s v="Customer 15"/>
    <x v="1"/>
    <d v="2021-04-06T18:16:23"/>
  </r>
  <r>
    <s v="S1024"/>
    <x v="24"/>
    <n v="24"/>
    <x v="7"/>
    <n v="2023"/>
    <x v="6"/>
    <x v="3"/>
    <n v="29.791499999999999"/>
    <n v="3"/>
    <n v="89.37"/>
    <s v="Customer 39"/>
    <x v="1"/>
    <d v="2022-02-21T04:53:19"/>
  </r>
  <r>
    <s v="S1025"/>
    <x v="25"/>
    <n v="1"/>
    <x v="7"/>
    <n v="2023"/>
    <x v="15"/>
    <x v="3"/>
    <n v="51.751600000000003"/>
    <n v="4"/>
    <n v="207.01"/>
    <s v="Customer 19"/>
    <x v="1"/>
    <d v="2020-11-16T22:26:16"/>
  </r>
  <r>
    <s v="S1026"/>
    <x v="26"/>
    <n v="23"/>
    <x v="0"/>
    <n v="2023"/>
    <x v="5"/>
    <x v="2"/>
    <n v="58.258899999999997"/>
    <n v="2"/>
    <n v="116.52"/>
    <s v="Customer 15"/>
    <x v="1"/>
    <d v="2021-04-06T18:16:23"/>
  </r>
  <r>
    <s v="S1027"/>
    <x v="27"/>
    <n v="30"/>
    <x v="0"/>
    <n v="2023"/>
    <x v="13"/>
    <x v="1"/>
    <n v="72.222800000000007"/>
    <n v="5"/>
    <n v="361.11"/>
    <s v="Customer 3"/>
    <x v="4"/>
    <d v="2020-10-25T03:14:58"/>
  </r>
  <r>
    <s v="S1028"/>
    <x v="28"/>
    <n v="28"/>
    <x v="10"/>
    <n v="2023"/>
    <x v="0"/>
    <x v="0"/>
    <n v="84.044300000000007"/>
    <n v="3"/>
    <n v="252.13"/>
    <s v="Customer 32"/>
    <x v="3"/>
    <d v="2021-02-16T16:53:11"/>
  </r>
  <r>
    <s v="S1029"/>
    <x v="29"/>
    <n v="20"/>
    <x v="9"/>
    <n v="2023"/>
    <x v="10"/>
    <x v="2"/>
    <n v="85.995400000000004"/>
    <n v="4"/>
    <n v="343.98"/>
    <s v="Customer 17"/>
    <x v="1"/>
    <d v="2021-09-08T06:34:17"/>
  </r>
  <r>
    <s v="S1030"/>
    <x v="30"/>
    <n v="16"/>
    <x v="11"/>
    <n v="2023"/>
    <x v="10"/>
    <x v="2"/>
    <n v="85.995400000000004"/>
    <n v="1"/>
    <n v="86"/>
    <s v="Customer 19"/>
    <x v="1"/>
    <d v="2020-11-16T22:26:16"/>
  </r>
  <r>
    <s v="S1031"/>
    <x v="31"/>
    <n v="27"/>
    <x v="7"/>
    <n v="2023"/>
    <x v="16"/>
    <x v="4"/>
    <n v="66.628200000000007"/>
    <n v="5"/>
    <n v="333.14"/>
    <s v="Customer 20"/>
    <x v="4"/>
    <d v="2022-05-24T20:36:24"/>
  </r>
  <r>
    <s v="S1032"/>
    <x v="32"/>
    <n v="24"/>
    <x v="3"/>
    <n v="2023"/>
    <x v="4"/>
    <x v="0"/>
    <n v="83.506699999999995"/>
    <n v="5"/>
    <n v="417.53"/>
    <s v="Customer 21"/>
    <x v="0"/>
    <d v="2021-06-14T23:19:57"/>
  </r>
  <r>
    <s v="S1033"/>
    <x v="33"/>
    <n v="27"/>
    <x v="1"/>
    <n v="2023"/>
    <x v="3"/>
    <x v="1"/>
    <n v="62.581000000000003"/>
    <n v="3"/>
    <n v="187.74"/>
    <s v="Customer 4"/>
    <x v="0"/>
    <d v="2021-08-18T12:07:31"/>
  </r>
  <r>
    <s v="S1034"/>
    <x v="34"/>
    <n v="21"/>
    <x v="3"/>
    <n v="2023"/>
    <x v="0"/>
    <x v="0"/>
    <n v="84.044300000000007"/>
    <n v="4"/>
    <n v="336.18"/>
    <s v="Customer 5"/>
    <x v="3"/>
    <d v="2022-09-24T04:20:12"/>
  </r>
  <r>
    <s v="S1035"/>
    <x v="35"/>
    <n v="26"/>
    <x v="7"/>
    <n v="2023"/>
    <x v="7"/>
    <x v="0"/>
    <n v="88.902799999999999"/>
    <n v="4"/>
    <n v="355.61"/>
    <s v="Customer 26"/>
    <x v="2"/>
    <d v="2022-12-15T00:51:36"/>
  </r>
  <r>
    <s v="S1036"/>
    <x v="36"/>
    <n v="7"/>
    <x v="4"/>
    <n v="2023"/>
    <x v="6"/>
    <x v="3"/>
    <n v="29.791499999999999"/>
    <n v="5"/>
    <n v="148.96"/>
    <s v="Customer 31"/>
    <x v="1"/>
    <d v="2020-09-29T07:23:36"/>
  </r>
  <r>
    <s v="S1037"/>
    <x v="37"/>
    <n v="30"/>
    <x v="9"/>
    <n v="2023"/>
    <x v="7"/>
    <x v="0"/>
    <n v="88.902799999999999"/>
    <n v="3"/>
    <n v="266.70999999999998"/>
    <s v="Customer 14"/>
    <x v="0"/>
    <d v="2020-01-14T02:38:43"/>
  </r>
  <r>
    <s v="S1038"/>
    <x v="38"/>
    <n v="11"/>
    <x v="10"/>
    <n v="2023"/>
    <x v="14"/>
    <x v="3"/>
    <n v="53.051900000000003"/>
    <n v="5"/>
    <n v="265.26"/>
    <s v="Customer 0"/>
    <x v="1"/>
    <d v="2022-03-25T21:44:48"/>
  </r>
  <r>
    <s v="S1039"/>
    <x v="39"/>
    <n v="7"/>
    <x v="3"/>
    <n v="2023"/>
    <x v="6"/>
    <x v="3"/>
    <n v="29.791499999999999"/>
    <n v="3"/>
    <n v="89.37"/>
    <s v="Customer 13"/>
    <x v="4"/>
    <d v="2022-04-14T06:21:36"/>
  </r>
  <r>
    <s v="S1040"/>
    <x v="40"/>
    <n v="5"/>
    <x v="1"/>
    <n v="2023"/>
    <x v="8"/>
    <x v="1"/>
    <n v="61.2789"/>
    <n v="2"/>
    <n v="122.56"/>
    <s v="Customer 14"/>
    <x v="0"/>
    <d v="2020-01-14T02:38:43"/>
  </r>
  <r>
    <s v="S1041"/>
    <x v="41"/>
    <n v="6"/>
    <x v="9"/>
    <n v="2023"/>
    <x v="17"/>
    <x v="3"/>
    <n v="20.389500000000002"/>
    <n v="2"/>
    <n v="40.78"/>
    <s v="Customer 32"/>
    <x v="3"/>
    <d v="2021-02-16T16:53:11"/>
  </r>
  <r>
    <s v="S1042"/>
    <x v="42"/>
    <n v="27"/>
    <x v="7"/>
    <n v="2023"/>
    <x v="15"/>
    <x v="3"/>
    <n v="51.751600000000003"/>
    <n v="4"/>
    <n v="207.01"/>
    <s v="Customer 20"/>
    <x v="4"/>
    <d v="2022-05-24T20:36:24"/>
  </r>
  <r>
    <s v="S1043"/>
    <x v="43"/>
    <n v="26"/>
    <x v="8"/>
    <n v="2023"/>
    <x v="5"/>
    <x v="2"/>
    <n v="58.258899999999997"/>
    <n v="5"/>
    <n v="291.29000000000002"/>
    <s v="Customer 48"/>
    <x v="2"/>
    <d v="2020-06-11T18:17:54"/>
  </r>
  <r>
    <s v="S1044"/>
    <x v="44"/>
    <n v="11"/>
    <x v="3"/>
    <n v="2023"/>
    <x v="6"/>
    <x v="3"/>
    <n v="29.791499999999999"/>
    <n v="3"/>
    <n v="89.37"/>
    <s v="Customer 25"/>
    <x v="0"/>
    <d v="2022-03-19T20:15:52"/>
  </r>
  <r>
    <s v="S1045"/>
    <x v="45"/>
    <n v="28"/>
    <x v="6"/>
    <n v="2023"/>
    <x v="4"/>
    <x v="0"/>
    <n v="83.506699999999995"/>
    <n v="2"/>
    <n v="167.01"/>
    <s v="Customer 39"/>
    <x v="1"/>
    <d v="2022-02-21T04:53:19"/>
  </r>
  <r>
    <s v="S1046"/>
    <x v="46"/>
    <n v="14"/>
    <x v="3"/>
    <n v="2023"/>
    <x v="18"/>
    <x v="3"/>
    <n v="88.069500000000005"/>
    <n v="5"/>
    <n v="440.35"/>
    <s v="Customer 40"/>
    <x v="0"/>
    <d v="2021-04-25T02:35:18"/>
  </r>
  <r>
    <s v="S1047"/>
    <x v="47"/>
    <n v="5"/>
    <x v="0"/>
    <n v="2023"/>
    <x v="7"/>
    <x v="0"/>
    <n v="88.902799999999999"/>
    <n v="3"/>
    <n v="266.70999999999998"/>
    <s v="Customer 18"/>
    <x v="4"/>
    <d v="2020-12-20T02:31:46"/>
  </r>
  <r>
    <s v="S1048"/>
    <x v="48"/>
    <n v="30"/>
    <x v="9"/>
    <n v="2023"/>
    <x v="17"/>
    <x v="3"/>
    <n v="20.389500000000002"/>
    <n v="3"/>
    <n v="61.17"/>
    <s v="Customer 19"/>
    <x v="1"/>
    <d v="2020-11-16T22:26:16"/>
  </r>
  <r>
    <s v="S1049"/>
    <x v="49"/>
    <n v="24"/>
    <x v="2"/>
    <n v="2023"/>
    <x v="11"/>
    <x v="3"/>
    <n v="89.156599999999997"/>
    <n v="1"/>
    <n v="89.16"/>
    <s v="Customer 44"/>
    <x v="0"/>
    <d v="2020-12-13T02:48:12"/>
  </r>
  <r>
    <s v="S1050"/>
    <x v="50"/>
    <n v="28"/>
    <x v="5"/>
    <n v="2023"/>
    <x v="0"/>
    <x v="0"/>
    <n v="84.044300000000007"/>
    <n v="4"/>
    <n v="336.18"/>
    <s v="Customer 15"/>
    <x v="1"/>
    <d v="2021-04-06T18:16:23"/>
  </r>
  <r>
    <s v="S1051"/>
    <x v="51"/>
    <n v="27"/>
    <x v="5"/>
    <n v="2023"/>
    <x v="19"/>
    <x v="0"/>
    <n v="71.685000000000002"/>
    <n v="1"/>
    <n v="71.680000000000007"/>
    <s v="Customer 14"/>
    <x v="0"/>
    <d v="2020-01-14T02:38:43"/>
  </r>
  <r>
    <s v="S1052"/>
    <x v="52"/>
    <n v="12"/>
    <x v="4"/>
    <n v="2023"/>
    <x v="18"/>
    <x v="3"/>
    <n v="88.069500000000005"/>
    <n v="5"/>
    <n v="440.35"/>
    <s v="Customer 8"/>
    <x v="0"/>
    <d v="2022-01-18T17:27:26"/>
  </r>
  <r>
    <s v="S1053"/>
    <x v="53"/>
    <n v="9"/>
    <x v="7"/>
    <n v="2023"/>
    <x v="2"/>
    <x v="0"/>
    <n v="79.285700000000006"/>
    <n v="2"/>
    <n v="158.57"/>
    <s v="Customer 0"/>
    <x v="1"/>
    <d v="2022-03-25T21:44:48"/>
  </r>
  <r>
    <s v="S1054"/>
    <x v="54"/>
    <n v="20"/>
    <x v="5"/>
    <n v="2023"/>
    <x v="17"/>
    <x v="3"/>
    <n v="20.389500000000002"/>
    <n v="1"/>
    <n v="20.39"/>
    <s v="Customer 15"/>
    <x v="1"/>
    <d v="2021-04-06T18:16:23"/>
  </r>
  <r>
    <s v="S1055"/>
    <x v="55"/>
    <n v="10"/>
    <x v="10"/>
    <n v="2023"/>
    <x v="6"/>
    <x v="3"/>
    <n v="29.791499999999999"/>
    <n v="3"/>
    <n v="89.37"/>
    <s v="Customer 13"/>
    <x v="4"/>
    <d v="2022-04-14T06:21:36"/>
  </r>
  <r>
    <s v="S1056"/>
    <x v="56"/>
    <n v="26"/>
    <x v="10"/>
    <n v="2023"/>
    <x v="3"/>
    <x v="1"/>
    <n v="62.581000000000003"/>
    <n v="4"/>
    <n v="250.32"/>
    <s v="Customer 20"/>
    <x v="4"/>
    <d v="2022-05-24T20:36:24"/>
  </r>
  <r>
    <s v="S1057"/>
    <x v="57"/>
    <n v="30"/>
    <x v="11"/>
    <n v="2023"/>
    <x v="2"/>
    <x v="0"/>
    <n v="79.285700000000006"/>
    <n v="3"/>
    <n v="237.86"/>
    <s v="Customer 37"/>
    <x v="1"/>
    <d v="2022-06-22T15:58:05"/>
  </r>
  <r>
    <s v="S1058"/>
    <x v="58"/>
    <n v="14"/>
    <x v="11"/>
    <n v="2023"/>
    <x v="14"/>
    <x v="3"/>
    <n v="53.051900000000003"/>
    <n v="5"/>
    <n v="265.26"/>
    <s v="Customer 11"/>
    <x v="4"/>
    <d v="2020-12-21T14:00:54"/>
  </r>
  <r>
    <s v="S1059"/>
    <x v="59"/>
    <n v="4"/>
    <x v="8"/>
    <n v="2023"/>
    <x v="0"/>
    <x v="0"/>
    <n v="84.044300000000007"/>
    <n v="5"/>
    <n v="420.22"/>
    <s v="Customer 26"/>
    <x v="2"/>
    <d v="2022-12-15T00:51:36"/>
  </r>
  <r>
    <s v="S1060"/>
    <x v="60"/>
    <n v="12"/>
    <x v="1"/>
    <n v="2023"/>
    <x v="15"/>
    <x v="3"/>
    <n v="51.751600000000003"/>
    <n v="3"/>
    <n v="155.25"/>
    <s v="Customer 41"/>
    <x v="4"/>
    <d v="2022-09-07T13:01:08"/>
  </r>
  <r>
    <s v="S1061"/>
    <x v="61"/>
    <n v="9"/>
    <x v="2"/>
    <n v="2023"/>
    <x v="4"/>
    <x v="0"/>
    <n v="83.506699999999995"/>
    <n v="1"/>
    <n v="83.51"/>
    <s v="Customer 47"/>
    <x v="4"/>
    <d v="2021-11-22T09:03:43"/>
  </r>
  <r>
    <s v="S1062"/>
    <x v="62"/>
    <n v="3"/>
    <x v="2"/>
    <n v="2023"/>
    <x v="17"/>
    <x v="3"/>
    <n v="20.389500000000002"/>
    <n v="2"/>
    <n v="40.78"/>
    <s v="Customer 43"/>
    <x v="0"/>
    <d v="2022-03-05T03:24:18"/>
  </r>
  <r>
    <s v="S1063"/>
    <x v="63"/>
    <n v="6"/>
    <x v="10"/>
    <n v="2023"/>
    <x v="18"/>
    <x v="3"/>
    <n v="88.069500000000005"/>
    <n v="5"/>
    <n v="440.35"/>
    <s v="Customer 21"/>
    <x v="0"/>
    <d v="2021-06-14T23:19:57"/>
  </r>
  <r>
    <s v="S1064"/>
    <x v="64"/>
    <n v="9"/>
    <x v="3"/>
    <n v="2023"/>
    <x v="14"/>
    <x v="3"/>
    <n v="53.051900000000003"/>
    <n v="3"/>
    <n v="159.16"/>
    <s v="Customer 30"/>
    <x v="2"/>
    <d v="2022-02-09T00:20:07"/>
  </r>
  <r>
    <s v="S1065"/>
    <x v="65"/>
    <n v="22"/>
    <x v="10"/>
    <n v="2023"/>
    <x v="0"/>
    <x v="0"/>
    <n v="84.044300000000007"/>
    <n v="1"/>
    <n v="84.04"/>
    <s v="Customer 32"/>
    <x v="3"/>
    <d v="2021-02-16T16:53:11"/>
  </r>
  <r>
    <s v="S1066"/>
    <x v="66"/>
    <n v="30"/>
    <x v="4"/>
    <n v="2023"/>
    <x v="9"/>
    <x v="4"/>
    <n v="26.460100000000001"/>
    <n v="2"/>
    <n v="52.92"/>
    <s v="Customer 24"/>
    <x v="0"/>
    <d v="2021-10-14T16:18:27"/>
  </r>
  <r>
    <s v="S1067"/>
    <x v="67"/>
    <n v="17"/>
    <x v="8"/>
    <n v="2023"/>
    <x v="16"/>
    <x v="4"/>
    <n v="66.628200000000007"/>
    <n v="5"/>
    <n v="333.14"/>
    <s v="Customer 5"/>
    <x v="3"/>
    <d v="2022-09-24T04:20:12"/>
  </r>
  <r>
    <s v="S1068"/>
    <x v="68"/>
    <n v="24"/>
    <x v="5"/>
    <n v="2023"/>
    <x v="17"/>
    <x v="3"/>
    <n v="20.389500000000002"/>
    <n v="4"/>
    <n v="81.56"/>
    <s v="Customer 31"/>
    <x v="1"/>
    <d v="2020-09-29T07:23:36"/>
  </r>
  <r>
    <s v="S1069"/>
    <x v="69"/>
    <n v="17"/>
    <x v="3"/>
    <n v="2023"/>
    <x v="2"/>
    <x v="0"/>
    <n v="79.285700000000006"/>
    <n v="5"/>
    <n v="396.43"/>
    <s v="Customer 23"/>
    <x v="3"/>
    <d v="2021-06-18T08:55:49"/>
  </r>
  <r>
    <s v="S1070"/>
    <x v="70"/>
    <n v="6"/>
    <x v="2"/>
    <n v="2023"/>
    <x v="11"/>
    <x v="3"/>
    <n v="89.156599999999997"/>
    <n v="2"/>
    <n v="178.31"/>
    <s v="Customer 30"/>
    <x v="2"/>
    <d v="2022-02-09T00:20:07"/>
  </r>
  <r>
    <s v="S1071"/>
    <x v="71"/>
    <n v="1"/>
    <x v="10"/>
    <n v="2023"/>
    <x v="3"/>
    <x v="1"/>
    <n v="62.581000000000003"/>
    <n v="5"/>
    <n v="312.89999999999998"/>
    <s v="Customer 11"/>
    <x v="4"/>
    <d v="2020-12-21T14:00:54"/>
  </r>
  <r>
    <s v="S1072"/>
    <x v="72"/>
    <n v="30"/>
    <x v="2"/>
    <n v="2023"/>
    <x v="18"/>
    <x v="3"/>
    <n v="88.069500000000005"/>
    <n v="5"/>
    <n v="440.35"/>
    <s v="Customer 5"/>
    <x v="3"/>
    <d v="2022-09-24T04:20:12"/>
  </r>
  <r>
    <s v="S1073"/>
    <x v="73"/>
    <n v="12"/>
    <x v="9"/>
    <n v="2023"/>
    <x v="8"/>
    <x v="1"/>
    <n v="61.2789"/>
    <n v="5"/>
    <n v="306.39"/>
    <s v="Customer 32"/>
    <x v="3"/>
    <d v="2021-02-16T16:53:11"/>
  </r>
  <r>
    <s v="S1074"/>
    <x v="74"/>
    <n v="25"/>
    <x v="11"/>
    <n v="2023"/>
    <x v="13"/>
    <x v="1"/>
    <n v="72.222800000000007"/>
    <n v="4"/>
    <n v="288.89"/>
    <s v="Customer 39"/>
    <x v="1"/>
    <d v="2022-02-21T04:53:19"/>
  </r>
  <r>
    <s v="S1075"/>
    <x v="75"/>
    <n v="11"/>
    <x v="10"/>
    <n v="2023"/>
    <x v="0"/>
    <x v="0"/>
    <n v="84.044300000000007"/>
    <n v="4"/>
    <n v="336.18"/>
    <s v="Customer 42"/>
    <x v="2"/>
    <d v="2020-05-24T08:58:35"/>
  </r>
  <r>
    <s v="S1076"/>
    <x v="76"/>
    <n v="16"/>
    <x v="11"/>
    <n v="2023"/>
    <x v="5"/>
    <x v="2"/>
    <n v="58.258899999999997"/>
    <n v="5"/>
    <n v="291.29000000000002"/>
    <s v="Customer 21"/>
    <x v="0"/>
    <d v="2021-06-14T23:19:57"/>
  </r>
  <r>
    <s v="S1077"/>
    <x v="77"/>
    <n v="17"/>
    <x v="5"/>
    <n v="2023"/>
    <x v="3"/>
    <x v="1"/>
    <n v="62.581000000000003"/>
    <n v="3"/>
    <n v="187.74"/>
    <s v="Customer 5"/>
    <x v="3"/>
    <d v="2022-09-24T04:20:12"/>
  </r>
  <r>
    <s v="S1078"/>
    <x v="78"/>
    <n v="1"/>
    <x v="8"/>
    <n v="2023"/>
    <x v="7"/>
    <x v="0"/>
    <n v="88.902799999999999"/>
    <n v="5"/>
    <n v="444.51"/>
    <s v="Customer 49"/>
    <x v="2"/>
    <d v="2020-11-18T19:49:28"/>
  </r>
  <r>
    <s v="S1079"/>
    <x v="79"/>
    <n v="1"/>
    <x v="4"/>
    <n v="2023"/>
    <x v="9"/>
    <x v="4"/>
    <n v="26.460100000000001"/>
    <n v="1"/>
    <n v="26.46"/>
    <s v="Customer 3"/>
    <x v="4"/>
    <d v="2020-10-25T03:14:58"/>
  </r>
  <r>
    <s v="S1080"/>
    <x v="80"/>
    <n v="5"/>
    <x v="3"/>
    <n v="2023"/>
    <x v="7"/>
    <x v="0"/>
    <n v="88.902799999999999"/>
    <n v="1"/>
    <n v="88.9"/>
    <s v="Customer 38"/>
    <x v="0"/>
    <d v="2020-07-18T22:54:40"/>
  </r>
  <r>
    <s v="S1081"/>
    <x v="81"/>
    <n v="18"/>
    <x v="10"/>
    <n v="2023"/>
    <x v="12"/>
    <x v="4"/>
    <n v="57.650599999999997"/>
    <n v="5"/>
    <n v="288.25"/>
    <s v="Customer 23"/>
    <x v="3"/>
    <d v="2021-06-18T08:55:49"/>
  </r>
  <r>
    <s v="S1082"/>
    <x v="82"/>
    <n v="22"/>
    <x v="3"/>
    <n v="2023"/>
    <x v="5"/>
    <x v="2"/>
    <n v="58.258899999999997"/>
    <n v="3"/>
    <n v="174.78"/>
    <s v="Customer 32"/>
    <x v="3"/>
    <d v="2021-02-16T16:53:11"/>
  </r>
  <r>
    <s v="S1083"/>
    <x v="83"/>
    <n v="20"/>
    <x v="7"/>
    <n v="2023"/>
    <x v="3"/>
    <x v="1"/>
    <n v="62.581000000000003"/>
    <n v="3"/>
    <n v="187.74"/>
    <s v="Customer 18"/>
    <x v="4"/>
    <d v="2020-12-20T02:31:46"/>
  </r>
  <r>
    <s v="S1084"/>
    <x v="84"/>
    <n v="7"/>
    <x v="4"/>
    <n v="2023"/>
    <x v="4"/>
    <x v="0"/>
    <n v="83.506699999999995"/>
    <n v="5"/>
    <n v="417.53"/>
    <s v="Customer 29"/>
    <x v="1"/>
    <d v="2021-05-27T18:20:14"/>
  </r>
  <r>
    <s v="S1085"/>
    <x v="85"/>
    <n v="28"/>
    <x v="3"/>
    <n v="2023"/>
    <x v="6"/>
    <x v="3"/>
    <n v="29.791499999999999"/>
    <n v="4"/>
    <n v="119.17"/>
    <s v="Customer 9"/>
    <x v="3"/>
    <d v="2022-08-10T06:07:53"/>
  </r>
  <r>
    <s v="S1086"/>
    <x v="86"/>
    <n v="6"/>
    <x v="11"/>
    <n v="2023"/>
    <x v="14"/>
    <x v="3"/>
    <n v="53.051900000000003"/>
    <n v="2"/>
    <n v="106.1"/>
    <s v="Customer 15"/>
    <x v="1"/>
    <d v="2021-04-06T18:16:23"/>
  </r>
  <r>
    <s v="S1087"/>
    <x v="87"/>
    <n v="8"/>
    <x v="6"/>
    <n v="2023"/>
    <x v="8"/>
    <x v="1"/>
    <n v="61.2789"/>
    <n v="1"/>
    <n v="61.28"/>
    <s v="Customer 28"/>
    <x v="0"/>
    <d v="2021-08-22T04:22:26"/>
  </r>
  <r>
    <s v="S1088"/>
    <x v="88"/>
    <n v="23"/>
    <x v="7"/>
    <n v="2023"/>
    <x v="11"/>
    <x v="3"/>
    <n v="89.156599999999997"/>
    <n v="3"/>
    <n v="267.47000000000003"/>
    <s v="Customer 4"/>
    <x v="0"/>
    <d v="2021-08-18T12:07:31"/>
  </r>
  <r>
    <s v="S1089"/>
    <x v="89"/>
    <n v="11"/>
    <x v="5"/>
    <n v="2023"/>
    <x v="14"/>
    <x v="3"/>
    <n v="53.051900000000003"/>
    <n v="5"/>
    <n v="265.26"/>
    <s v="Customer 26"/>
    <x v="2"/>
    <d v="2022-12-15T00:51:36"/>
  </r>
  <r>
    <s v="S1090"/>
    <x v="90"/>
    <n v="2"/>
    <x v="10"/>
    <n v="2023"/>
    <x v="17"/>
    <x v="3"/>
    <n v="20.389500000000002"/>
    <n v="5"/>
    <n v="101.95"/>
    <s v="Customer 22"/>
    <x v="1"/>
    <d v="2021-06-12T02:25:44"/>
  </r>
  <r>
    <s v="S1091"/>
    <x v="91"/>
    <n v="2"/>
    <x v="7"/>
    <n v="2023"/>
    <x v="7"/>
    <x v="0"/>
    <n v="88.902799999999999"/>
    <n v="4"/>
    <n v="355.61"/>
    <s v="Customer 2"/>
    <x v="1"/>
    <d v="2020-08-01T19:55:31"/>
  </r>
  <r>
    <s v="S1092"/>
    <x v="92"/>
    <n v="5"/>
    <x v="1"/>
    <n v="2023"/>
    <x v="3"/>
    <x v="1"/>
    <n v="62.581000000000003"/>
    <n v="1"/>
    <n v="62.58"/>
    <s v="Customer 17"/>
    <x v="1"/>
    <d v="2021-09-08T06:34:17"/>
  </r>
  <r>
    <s v="S1093"/>
    <x v="93"/>
    <n v="16"/>
    <x v="1"/>
    <n v="2023"/>
    <x v="15"/>
    <x v="3"/>
    <n v="51.751600000000003"/>
    <n v="3"/>
    <n v="155.25"/>
    <s v="Customer 27"/>
    <x v="2"/>
    <d v="2021-12-17T15:00:08"/>
  </r>
  <r>
    <s v="S1094"/>
    <x v="94"/>
    <n v="2"/>
    <x v="8"/>
    <n v="2023"/>
    <x v="7"/>
    <x v="0"/>
    <n v="88.902799999999999"/>
    <n v="5"/>
    <n v="444.51"/>
    <s v="Customer 32"/>
    <x v="3"/>
    <d v="2021-02-16T16:53:11"/>
  </r>
  <r>
    <s v="S1095"/>
    <x v="95"/>
    <n v="26"/>
    <x v="4"/>
    <n v="2023"/>
    <x v="8"/>
    <x v="1"/>
    <n v="61.2789"/>
    <n v="1"/>
    <n v="61.28"/>
    <s v="Customer 14"/>
    <x v="0"/>
    <d v="2020-01-14T02:38:43"/>
  </r>
  <r>
    <s v="S1096"/>
    <x v="96"/>
    <n v="19"/>
    <x v="8"/>
    <n v="2023"/>
    <x v="19"/>
    <x v="0"/>
    <n v="71.685000000000002"/>
    <n v="4"/>
    <n v="286.74"/>
    <s v="Customer 41"/>
    <x v="4"/>
    <d v="2022-09-07T13:01:08"/>
  </r>
  <r>
    <s v="S1097"/>
    <x v="97"/>
    <n v="16"/>
    <x v="7"/>
    <n v="2023"/>
    <x v="14"/>
    <x v="3"/>
    <n v="53.051900000000003"/>
    <n v="4"/>
    <n v="212.21"/>
    <s v="Customer 22"/>
    <x v="1"/>
    <d v="2021-06-12T02:25:44"/>
  </r>
  <r>
    <s v="S1098"/>
    <x v="98"/>
    <n v="10"/>
    <x v="11"/>
    <n v="2023"/>
    <x v="0"/>
    <x v="0"/>
    <n v="84.044300000000007"/>
    <n v="2"/>
    <n v="168.09"/>
    <s v="Customer 0"/>
    <x v="1"/>
    <d v="2022-03-25T21:44:48"/>
  </r>
  <r>
    <s v="S1099"/>
    <x v="99"/>
    <n v="16"/>
    <x v="8"/>
    <n v="2023"/>
    <x v="13"/>
    <x v="1"/>
    <n v="72.222800000000007"/>
    <n v="3"/>
    <n v="216.67"/>
    <s v="Customer 38"/>
    <x v="0"/>
    <d v="2020-07-18T22:54: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E1F7EC-7092-4811-A921-187ABDF3796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H8" firstHeaderRow="1" firstDataRow="1" firstDataCol="0"/>
  <pivotFields count="15">
    <pivotField showAll="0"/>
    <pivotField numFmtId="164" showAll="0">
      <items count="101">
        <item x="78"/>
        <item x="94"/>
        <item x="59"/>
        <item x="99"/>
        <item x="67"/>
        <item x="96"/>
        <item x="43"/>
        <item x="16"/>
        <item x="11"/>
        <item x="87"/>
        <item x="19"/>
        <item x="45"/>
        <item x="92"/>
        <item x="40"/>
        <item x="8"/>
        <item x="1"/>
        <item x="60"/>
        <item x="93"/>
        <item x="2"/>
        <item x="33"/>
        <item x="6"/>
        <item x="18"/>
        <item x="62"/>
        <item x="70"/>
        <item x="61"/>
        <item x="3"/>
        <item x="49"/>
        <item x="23"/>
        <item x="72"/>
        <item x="79"/>
        <item x="9"/>
        <item x="84"/>
        <item x="36"/>
        <item x="52"/>
        <item x="7"/>
        <item x="95"/>
        <item x="66"/>
        <item x="47"/>
        <item x="4"/>
        <item x="0"/>
        <item x="26"/>
        <item x="27"/>
        <item x="86"/>
        <item x="98"/>
        <item x="58"/>
        <item x="76"/>
        <item x="30"/>
        <item x="74"/>
        <item x="57"/>
        <item x="25"/>
        <item x="91"/>
        <item x="13"/>
        <item x="53"/>
        <item x="14"/>
        <item x="97"/>
        <item x="83"/>
        <item x="88"/>
        <item x="24"/>
        <item x="35"/>
        <item x="31"/>
        <item x="42"/>
        <item x="15"/>
        <item x="80"/>
        <item x="39"/>
        <item x="64"/>
        <item x="44"/>
        <item x="46"/>
        <item x="5"/>
        <item x="69"/>
        <item x="34"/>
        <item x="82"/>
        <item x="32"/>
        <item x="21"/>
        <item x="85"/>
        <item x="89"/>
        <item x="12"/>
        <item x="10"/>
        <item x="77"/>
        <item x="54"/>
        <item x="22"/>
        <item x="68"/>
        <item x="51"/>
        <item x="50"/>
        <item x="71"/>
        <item x="90"/>
        <item x="63"/>
        <item x="55"/>
        <item x="75"/>
        <item x="20"/>
        <item x="38"/>
        <item x="81"/>
        <item x="65"/>
        <item x="56"/>
        <item x="28"/>
        <item x="41"/>
        <item x="73"/>
        <item x="17"/>
        <item x="29"/>
        <item x="48"/>
        <item x="37"/>
        <item t="default"/>
      </items>
    </pivotField>
    <pivotField showAll="0"/>
    <pivotField showAll="0"/>
    <pivotField showAll="0"/>
    <pivotField showAll="0">
      <items count="21">
        <item x="13"/>
        <item x="19"/>
        <item x="4"/>
        <item x="15"/>
        <item x="12"/>
        <item x="17"/>
        <item x="9"/>
        <item x="7"/>
        <item x="16"/>
        <item x="6"/>
        <item x="11"/>
        <item x="18"/>
        <item x="1"/>
        <item x="14"/>
        <item x="3"/>
        <item x="5"/>
        <item x="0"/>
        <item x="2"/>
        <item x="8"/>
        <item x="10"/>
        <item t="default"/>
      </items>
    </pivotField>
    <pivotField showAll="0"/>
    <pivotField showAll="0"/>
    <pivotField dataField="1" showAll="0"/>
    <pivotField showAll="0"/>
    <pivotField showAll="0"/>
    <pivotField showAll="0">
      <items count="6">
        <item x="2"/>
        <item x="4"/>
        <item x="1"/>
        <item x="3"/>
        <item x="0"/>
        <item t="default"/>
      </items>
    </pivotField>
    <pivotField numFmtId="22"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Quantity Sold" fld="8" baseField="0" baseItem="0"/>
  </dataFields>
  <formats count="13">
    <format dxfId="259">
      <pivotArea dataOnly="0" labelOnly="1" outline="0" axis="axisValues" fieldPosition="0"/>
    </format>
    <format dxfId="213">
      <pivotArea type="all" dataOnly="0" outline="0" fieldPosition="0"/>
    </format>
    <format dxfId="212">
      <pivotArea outline="0" collapsedLevelsAreSubtotals="1" fieldPosition="0"/>
    </format>
    <format dxfId="211">
      <pivotArea dataOnly="0" labelOnly="1" outline="0" axis="axisValues" fieldPosition="0"/>
    </format>
    <format dxfId="208">
      <pivotArea type="all" dataOnly="0" outline="0" fieldPosition="0"/>
    </format>
    <format dxfId="204">
      <pivotArea outline="0" collapsedLevelsAreSubtotals="1" fieldPosition="0"/>
    </format>
    <format dxfId="203">
      <pivotArea dataOnly="0" labelOnly="1" outline="0" axis="axisValues" fieldPosition="0"/>
    </format>
    <format dxfId="201">
      <pivotArea type="all" dataOnly="0" outline="0" fieldPosition="0"/>
    </format>
    <format dxfId="200">
      <pivotArea outline="0" collapsedLevelsAreSubtotals="1" fieldPosition="0"/>
    </format>
    <format dxfId="199">
      <pivotArea dataOnly="0" labelOnly="1" outline="0" axis="axisValues" fieldPosition="0"/>
    </format>
    <format dxfId="196">
      <pivotArea type="all" dataOnly="0" outline="0" fieldPosition="0"/>
    </format>
    <format dxfId="192">
      <pivotArea outline="0" collapsedLevelsAreSubtotals="1" fieldPosition="0"/>
    </format>
    <format dxfId="19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621976-012C-4053-AC26-54DBF1E00DE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F8" firstHeaderRow="1" firstDataRow="1" firstDataCol="0"/>
  <pivotFields count="15">
    <pivotField dataField="1" showAll="0"/>
    <pivotField numFmtId="164" showAll="0">
      <items count="101">
        <item x="78"/>
        <item x="94"/>
        <item x="59"/>
        <item x="99"/>
        <item x="67"/>
        <item x="96"/>
        <item x="43"/>
        <item x="16"/>
        <item x="11"/>
        <item x="87"/>
        <item x="19"/>
        <item x="45"/>
        <item x="92"/>
        <item x="40"/>
        <item x="8"/>
        <item x="1"/>
        <item x="60"/>
        <item x="93"/>
        <item x="2"/>
        <item x="33"/>
        <item x="6"/>
        <item x="18"/>
        <item x="62"/>
        <item x="70"/>
        <item x="61"/>
        <item x="3"/>
        <item x="49"/>
        <item x="23"/>
        <item x="72"/>
        <item x="79"/>
        <item x="9"/>
        <item x="84"/>
        <item x="36"/>
        <item x="52"/>
        <item x="7"/>
        <item x="95"/>
        <item x="66"/>
        <item x="47"/>
        <item x="4"/>
        <item x="0"/>
        <item x="26"/>
        <item x="27"/>
        <item x="86"/>
        <item x="98"/>
        <item x="58"/>
        <item x="76"/>
        <item x="30"/>
        <item x="74"/>
        <item x="57"/>
        <item x="25"/>
        <item x="91"/>
        <item x="13"/>
        <item x="53"/>
        <item x="14"/>
        <item x="97"/>
        <item x="83"/>
        <item x="88"/>
        <item x="24"/>
        <item x="35"/>
        <item x="31"/>
        <item x="42"/>
        <item x="15"/>
        <item x="80"/>
        <item x="39"/>
        <item x="64"/>
        <item x="44"/>
        <item x="46"/>
        <item x="5"/>
        <item x="69"/>
        <item x="34"/>
        <item x="82"/>
        <item x="32"/>
        <item x="21"/>
        <item x="85"/>
        <item x="89"/>
        <item x="12"/>
        <item x="10"/>
        <item x="77"/>
        <item x="54"/>
        <item x="22"/>
        <item x="68"/>
        <item x="51"/>
        <item x="50"/>
        <item x="71"/>
        <item x="90"/>
        <item x="63"/>
        <item x="55"/>
        <item x="75"/>
        <item x="20"/>
        <item x="38"/>
        <item x="81"/>
        <item x="65"/>
        <item x="56"/>
        <item x="28"/>
        <item x="41"/>
        <item x="73"/>
        <item x="17"/>
        <item x="29"/>
        <item x="48"/>
        <item x="37"/>
        <item t="default"/>
      </items>
    </pivotField>
    <pivotField showAll="0"/>
    <pivotField showAll="0"/>
    <pivotField showAll="0"/>
    <pivotField showAll="0"/>
    <pivotField showAll="0"/>
    <pivotField showAll="0"/>
    <pivotField showAll="0"/>
    <pivotField showAll="0"/>
    <pivotField showAll="0"/>
    <pivotField showAll="0">
      <items count="6">
        <item x="2"/>
        <item x="4"/>
        <item x="1"/>
        <item x="3"/>
        <item x="0"/>
        <item t="default"/>
      </items>
    </pivotField>
    <pivotField numFmtId="22"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Number of Sales" fld="0" subtotal="count" baseField="0" baseItem="0" numFmtId="1"/>
  </dataFields>
  <formats count="13">
    <format dxfId="272">
      <pivotArea type="all" dataOnly="0" outline="0" fieldPosition="0"/>
    </format>
    <format dxfId="271">
      <pivotArea outline="0" collapsedLevelsAreSubtotals="1" fieldPosition="0"/>
    </format>
    <format dxfId="270">
      <pivotArea dataOnly="0" labelOnly="1" outline="0" axis="axisValues" fieldPosition="0"/>
    </format>
    <format dxfId="269">
      <pivotArea type="all" dataOnly="0" outline="0" fieldPosition="0"/>
    </format>
    <format dxfId="268">
      <pivotArea outline="0" collapsedLevelsAreSubtotals="1" fieldPosition="0"/>
    </format>
    <format dxfId="267">
      <pivotArea dataOnly="0" labelOnly="1" outline="0" axis="axisValues" fieldPosition="0"/>
    </format>
    <format dxfId="266">
      <pivotArea type="all" dataOnly="0" outline="0" fieldPosition="0"/>
    </format>
    <format dxfId="265">
      <pivotArea outline="0" collapsedLevelsAreSubtotals="1" fieldPosition="0"/>
    </format>
    <format dxfId="264">
      <pivotArea dataOnly="0" labelOnly="1" outline="0" axis="axisValues" fieldPosition="0"/>
    </format>
    <format dxfId="263">
      <pivotArea type="all" dataOnly="0" outline="0" fieldPosition="0"/>
    </format>
    <format dxfId="262">
      <pivotArea outline="0" collapsedLevelsAreSubtotals="1" fieldPosition="0"/>
    </format>
    <format dxfId="261">
      <pivotArea dataOnly="0" labelOnly="1" outline="0" axis="axisValues" fieldPosition="0"/>
    </format>
    <format dxfId="2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0FCD80-B14F-4200-8D91-B8022AEEDEB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D8" firstHeaderRow="1" firstDataRow="1" firstDataCol="0"/>
  <pivotFields count="15">
    <pivotField showAll="0"/>
    <pivotField numFmtId="164" showAll="0">
      <items count="101">
        <item x="78"/>
        <item x="94"/>
        <item x="59"/>
        <item x="99"/>
        <item x="67"/>
        <item x="96"/>
        <item x="43"/>
        <item x="16"/>
        <item x="11"/>
        <item x="87"/>
        <item x="19"/>
        <item x="45"/>
        <item x="92"/>
        <item x="40"/>
        <item x="8"/>
        <item x="1"/>
        <item x="60"/>
        <item x="93"/>
        <item x="2"/>
        <item x="33"/>
        <item x="6"/>
        <item x="18"/>
        <item x="62"/>
        <item x="70"/>
        <item x="61"/>
        <item x="3"/>
        <item x="49"/>
        <item x="23"/>
        <item x="72"/>
        <item x="79"/>
        <item x="9"/>
        <item x="84"/>
        <item x="36"/>
        <item x="52"/>
        <item x="7"/>
        <item x="95"/>
        <item x="66"/>
        <item x="47"/>
        <item x="4"/>
        <item x="0"/>
        <item x="26"/>
        <item x="27"/>
        <item x="86"/>
        <item x="98"/>
        <item x="58"/>
        <item x="76"/>
        <item x="30"/>
        <item x="74"/>
        <item x="57"/>
        <item x="25"/>
        <item x="91"/>
        <item x="13"/>
        <item x="53"/>
        <item x="14"/>
        <item x="97"/>
        <item x="83"/>
        <item x="88"/>
        <item x="24"/>
        <item x="35"/>
        <item x="31"/>
        <item x="42"/>
        <item x="15"/>
        <item x="80"/>
        <item x="39"/>
        <item x="64"/>
        <item x="44"/>
        <item x="46"/>
        <item x="5"/>
        <item x="69"/>
        <item x="34"/>
        <item x="82"/>
        <item x="32"/>
        <item x="21"/>
        <item x="85"/>
        <item x="89"/>
        <item x="12"/>
        <item x="10"/>
        <item x="77"/>
        <item x="54"/>
        <item x="22"/>
        <item x="68"/>
        <item x="51"/>
        <item x="50"/>
        <item x="71"/>
        <item x="90"/>
        <item x="63"/>
        <item x="55"/>
        <item x="75"/>
        <item x="20"/>
        <item x="38"/>
        <item x="81"/>
        <item x="65"/>
        <item x="56"/>
        <item x="28"/>
        <item x="41"/>
        <item x="73"/>
        <item x="17"/>
        <item x="29"/>
        <item x="48"/>
        <item x="37"/>
        <item t="default"/>
      </items>
    </pivotField>
    <pivotField showAll="0"/>
    <pivotField showAll="0"/>
    <pivotField showAll="0"/>
    <pivotField showAll="0"/>
    <pivotField showAll="0"/>
    <pivotField showAll="0"/>
    <pivotField showAll="0"/>
    <pivotField dataField="1" showAll="0"/>
    <pivotField showAll="0"/>
    <pivotField showAll="0"/>
    <pivotField numFmtId="22"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Revenue" fld="9" baseField="0" baseItem="0" numFmtId="167"/>
  </dataFields>
  <formats count="12">
    <format dxfId="284">
      <pivotArea dataOnly="0" labelOnly="1" outline="0" axis="axisValues" fieldPosition="0"/>
    </format>
    <format dxfId="283">
      <pivotArea dataOnly="0" labelOnly="1" outline="0" axis="axisValues" fieldPosition="0"/>
    </format>
    <format dxfId="282">
      <pivotArea dataOnly="0" labelOnly="1" outline="0" axis="axisValues" fieldPosition="0"/>
    </format>
    <format dxfId="281">
      <pivotArea outline="0" collapsedLevelsAreSubtotals="1" fieldPosition="0"/>
    </format>
    <format dxfId="280">
      <pivotArea outline="0" collapsedLevelsAreSubtotals="1" fieldPosition="0"/>
    </format>
    <format dxfId="279">
      <pivotArea outline="0" collapsedLevelsAreSubtotals="1" fieldPosition="0"/>
    </format>
    <format dxfId="278">
      <pivotArea outline="0" collapsedLevelsAreSubtotals="1" fieldPosition="0"/>
    </format>
    <format dxfId="277">
      <pivotArea dataOnly="0" labelOnly="1" outline="0" axis="axisValues" fieldPosition="0"/>
    </format>
    <format dxfId="276">
      <pivotArea outline="0" collapsedLevelsAreSubtotals="1" fieldPosition="0"/>
    </format>
    <format dxfId="275">
      <pivotArea outline="0" collapsedLevelsAreSubtotals="1" fieldPosition="0"/>
    </format>
    <format dxfId="274">
      <pivotArea dataOnly="0" labelOnly="1" outline="0" axis="axisValues" fieldPosition="0"/>
    </format>
    <format dxfId="2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5BD5FE-7F71-4B17-BFCC-603EF15A6E2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5">
    <pivotField showAll="0"/>
    <pivotField numFmtId="164" showAll="0">
      <items count="101">
        <item x="78"/>
        <item x="94"/>
        <item x="59"/>
        <item x="99"/>
        <item x="67"/>
        <item x="96"/>
        <item x="43"/>
        <item x="16"/>
        <item x="11"/>
        <item x="87"/>
        <item x="19"/>
        <item x="45"/>
        <item x="92"/>
        <item x="40"/>
        <item x="8"/>
        <item x="1"/>
        <item x="60"/>
        <item x="93"/>
        <item x="2"/>
        <item x="33"/>
        <item x="6"/>
        <item x="18"/>
        <item x="62"/>
        <item x="70"/>
        <item x="61"/>
        <item x="3"/>
        <item x="49"/>
        <item x="23"/>
        <item x="72"/>
        <item x="79"/>
        <item x="9"/>
        <item x="84"/>
        <item x="36"/>
        <item x="52"/>
        <item x="7"/>
        <item x="95"/>
        <item x="66"/>
        <item x="47"/>
        <item x="4"/>
        <item x="0"/>
        <item x="26"/>
        <item x="27"/>
        <item x="86"/>
        <item x="98"/>
        <item x="58"/>
        <item x="76"/>
        <item x="30"/>
        <item x="74"/>
        <item x="57"/>
        <item x="25"/>
        <item x="91"/>
        <item x="13"/>
        <item x="53"/>
        <item x="14"/>
        <item x="97"/>
        <item x="83"/>
        <item x="88"/>
        <item x="24"/>
        <item x="35"/>
        <item x="31"/>
        <item x="42"/>
        <item x="15"/>
        <item x="80"/>
        <item x="39"/>
        <item x="64"/>
        <item x="44"/>
        <item x="46"/>
        <item x="5"/>
        <item x="69"/>
        <item x="34"/>
        <item x="82"/>
        <item x="32"/>
        <item x="21"/>
        <item x="85"/>
        <item x="89"/>
        <item x="12"/>
        <item x="10"/>
        <item x="77"/>
        <item x="54"/>
        <item x="22"/>
        <item x="68"/>
        <item x="51"/>
        <item x="50"/>
        <item x="71"/>
        <item x="90"/>
        <item x="63"/>
        <item x="55"/>
        <item x="75"/>
        <item x="20"/>
        <item x="38"/>
        <item x="81"/>
        <item x="65"/>
        <item x="56"/>
        <item x="28"/>
        <item x="41"/>
        <item x="73"/>
        <item x="17"/>
        <item x="29"/>
        <item x="48"/>
        <item x="37"/>
        <item t="default"/>
      </items>
    </pivotField>
    <pivotField showAll="0"/>
    <pivotField showAll="0"/>
    <pivotField showAll="0"/>
    <pivotField showAll="0">
      <items count="21">
        <item x="13"/>
        <item x="19"/>
        <item x="4"/>
        <item x="15"/>
        <item x="12"/>
        <item x="17"/>
        <item x="9"/>
        <item x="7"/>
        <item x="16"/>
        <item x="6"/>
        <item x="11"/>
        <item x="18"/>
        <item x="1"/>
        <item x="14"/>
        <item x="3"/>
        <item x="5"/>
        <item x="0"/>
        <item x="2"/>
        <item x="8"/>
        <item x="10"/>
        <item t="default"/>
      </items>
    </pivotField>
    <pivotField showAll="0"/>
    <pivotField showAll="0"/>
    <pivotField dataField="1" showAll="0"/>
    <pivotField showAll="0"/>
    <pivotField showAll="0"/>
    <pivotField showAll="0">
      <items count="6">
        <item x="2"/>
        <item x="4"/>
        <item x="1"/>
        <item x="3"/>
        <item x="0"/>
        <item t="default"/>
      </items>
    </pivotField>
    <pivotField numFmtId="22"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Quantity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AE78D8-A11D-4562-B167-F53D00CCD5E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5">
    <pivotField dataField="1" showAll="0"/>
    <pivotField numFmtId="164" showAll="0">
      <items count="101">
        <item x="78"/>
        <item x="94"/>
        <item x="59"/>
        <item x="99"/>
        <item x="67"/>
        <item x="96"/>
        <item x="43"/>
        <item x="16"/>
        <item x="11"/>
        <item x="87"/>
        <item x="19"/>
        <item x="45"/>
        <item x="92"/>
        <item x="40"/>
        <item x="8"/>
        <item x="1"/>
        <item x="60"/>
        <item x="93"/>
        <item x="2"/>
        <item x="33"/>
        <item x="6"/>
        <item x="18"/>
        <item x="62"/>
        <item x="70"/>
        <item x="61"/>
        <item x="3"/>
        <item x="49"/>
        <item x="23"/>
        <item x="72"/>
        <item x="79"/>
        <item x="9"/>
        <item x="84"/>
        <item x="36"/>
        <item x="52"/>
        <item x="7"/>
        <item x="95"/>
        <item x="66"/>
        <item x="47"/>
        <item x="4"/>
        <item x="0"/>
        <item x="26"/>
        <item x="27"/>
        <item x="86"/>
        <item x="98"/>
        <item x="58"/>
        <item x="76"/>
        <item x="30"/>
        <item x="74"/>
        <item x="57"/>
        <item x="25"/>
        <item x="91"/>
        <item x="13"/>
        <item x="53"/>
        <item x="14"/>
        <item x="97"/>
        <item x="83"/>
        <item x="88"/>
        <item x="24"/>
        <item x="35"/>
        <item x="31"/>
        <item x="42"/>
        <item x="15"/>
        <item x="80"/>
        <item x="39"/>
        <item x="64"/>
        <item x="44"/>
        <item x="46"/>
        <item x="5"/>
        <item x="69"/>
        <item x="34"/>
        <item x="82"/>
        <item x="32"/>
        <item x="21"/>
        <item x="85"/>
        <item x="89"/>
        <item x="12"/>
        <item x="10"/>
        <item x="77"/>
        <item x="54"/>
        <item x="22"/>
        <item x="68"/>
        <item x="51"/>
        <item x="50"/>
        <item x="71"/>
        <item x="90"/>
        <item x="63"/>
        <item x="55"/>
        <item x="75"/>
        <item x="20"/>
        <item x="38"/>
        <item x="81"/>
        <item x="65"/>
        <item x="56"/>
        <item x="28"/>
        <item x="41"/>
        <item x="73"/>
        <item x="17"/>
        <item x="29"/>
        <item x="48"/>
        <item x="37"/>
        <item t="default"/>
      </items>
    </pivotField>
    <pivotField showAll="0"/>
    <pivotField showAll="0"/>
    <pivotField showAll="0"/>
    <pivotField showAll="0"/>
    <pivotField showAll="0"/>
    <pivotField showAll="0"/>
    <pivotField showAll="0"/>
    <pivotField showAll="0"/>
    <pivotField showAll="0"/>
    <pivotField showAll="0">
      <items count="6">
        <item x="2"/>
        <item x="4"/>
        <item x="1"/>
        <item x="3"/>
        <item x="0"/>
        <item t="default"/>
      </items>
    </pivotField>
    <pivotField numFmtId="22"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Number of Sal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D6B6C4-3E4C-4F0B-8BFD-510E2A3BB56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showAll="0"/>
    <pivotField numFmtId="164" showAll="0">
      <items count="101">
        <item x="78"/>
        <item x="94"/>
        <item x="59"/>
        <item x="99"/>
        <item x="67"/>
        <item x="96"/>
        <item x="43"/>
        <item x="16"/>
        <item x="11"/>
        <item x="87"/>
        <item x="19"/>
        <item x="45"/>
        <item x="92"/>
        <item x="40"/>
        <item x="8"/>
        <item x="1"/>
        <item x="60"/>
        <item x="93"/>
        <item x="2"/>
        <item x="33"/>
        <item x="6"/>
        <item x="18"/>
        <item x="62"/>
        <item x="70"/>
        <item x="61"/>
        <item x="3"/>
        <item x="49"/>
        <item x="23"/>
        <item x="72"/>
        <item x="79"/>
        <item x="9"/>
        <item x="84"/>
        <item x="36"/>
        <item x="52"/>
        <item x="7"/>
        <item x="95"/>
        <item x="66"/>
        <item x="47"/>
        <item x="4"/>
        <item x="0"/>
        <item x="26"/>
        <item x="27"/>
        <item x="86"/>
        <item x="98"/>
        <item x="58"/>
        <item x="76"/>
        <item x="30"/>
        <item x="74"/>
        <item x="57"/>
        <item x="25"/>
        <item x="91"/>
        <item x="13"/>
        <item x="53"/>
        <item x="14"/>
        <item x="97"/>
        <item x="83"/>
        <item x="88"/>
        <item x="24"/>
        <item x="35"/>
        <item x="31"/>
        <item x="42"/>
        <item x="15"/>
        <item x="80"/>
        <item x="39"/>
        <item x="64"/>
        <item x="44"/>
        <item x="46"/>
        <item x="5"/>
        <item x="69"/>
        <item x="34"/>
        <item x="82"/>
        <item x="32"/>
        <item x="21"/>
        <item x="85"/>
        <item x="89"/>
        <item x="12"/>
        <item x="10"/>
        <item x="77"/>
        <item x="54"/>
        <item x="22"/>
        <item x="68"/>
        <item x="51"/>
        <item x="50"/>
        <item x="71"/>
        <item x="90"/>
        <item x="63"/>
        <item x="55"/>
        <item x="75"/>
        <item x="20"/>
        <item x="38"/>
        <item x="81"/>
        <item x="65"/>
        <item x="56"/>
        <item x="28"/>
        <item x="41"/>
        <item x="73"/>
        <item x="17"/>
        <item x="29"/>
        <item x="48"/>
        <item x="37"/>
        <item t="default"/>
      </items>
    </pivotField>
    <pivotField showAll="0"/>
    <pivotField showAll="0"/>
    <pivotField showAll="0"/>
    <pivotField showAll="0"/>
    <pivotField showAll="0"/>
    <pivotField showAll="0"/>
    <pivotField showAll="0"/>
    <pivotField dataField="1" showAll="0"/>
    <pivotField showAll="0"/>
    <pivotField showAll="0"/>
    <pivotField numFmtId="22"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Reven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F744B7-EE77-432D-85FD-D1C71B5022D3}"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Category">
  <location ref="A3:B9" firstHeaderRow="1" firstDataRow="1" firstDataCol="1"/>
  <pivotFields count="15">
    <pivotField showAll="0"/>
    <pivotField numFmtId="22" showAll="0">
      <items count="101">
        <item x="78"/>
        <item x="94"/>
        <item x="59"/>
        <item x="99"/>
        <item x="67"/>
        <item x="96"/>
        <item x="43"/>
        <item x="16"/>
        <item x="11"/>
        <item x="87"/>
        <item x="19"/>
        <item x="45"/>
        <item x="92"/>
        <item x="40"/>
        <item x="8"/>
        <item x="1"/>
        <item x="60"/>
        <item x="93"/>
        <item x="2"/>
        <item x="33"/>
        <item x="6"/>
        <item x="18"/>
        <item x="62"/>
        <item x="70"/>
        <item x="61"/>
        <item x="3"/>
        <item x="49"/>
        <item x="23"/>
        <item x="72"/>
        <item x="79"/>
        <item x="9"/>
        <item x="84"/>
        <item x="36"/>
        <item x="52"/>
        <item x="7"/>
        <item x="95"/>
        <item x="66"/>
        <item x="47"/>
        <item x="4"/>
        <item x="0"/>
        <item x="26"/>
        <item x="27"/>
        <item x="86"/>
        <item x="98"/>
        <item x="58"/>
        <item x="76"/>
        <item x="30"/>
        <item x="74"/>
        <item x="57"/>
        <item x="25"/>
        <item x="91"/>
        <item x="13"/>
        <item x="53"/>
        <item x="14"/>
        <item x="97"/>
        <item x="83"/>
        <item x="88"/>
        <item x="24"/>
        <item x="35"/>
        <item x="31"/>
        <item x="42"/>
        <item x="15"/>
        <item x="80"/>
        <item x="39"/>
        <item x="64"/>
        <item x="44"/>
        <item x="46"/>
        <item x="5"/>
        <item x="69"/>
        <item x="34"/>
        <item x="82"/>
        <item x="32"/>
        <item x="21"/>
        <item x="85"/>
        <item x="89"/>
        <item x="12"/>
        <item x="10"/>
        <item x="77"/>
        <item x="54"/>
        <item x="22"/>
        <item x="68"/>
        <item x="51"/>
        <item x="50"/>
        <item x="71"/>
        <item x="90"/>
        <item x="63"/>
        <item x="55"/>
        <item x="75"/>
        <item x="20"/>
        <item x="38"/>
        <item x="81"/>
        <item x="65"/>
        <item x="56"/>
        <item x="28"/>
        <item x="41"/>
        <item x="73"/>
        <item x="17"/>
        <item x="29"/>
        <item x="48"/>
        <item x="37"/>
        <item t="default"/>
      </items>
    </pivotField>
    <pivotField showAll="0"/>
    <pivotField showAll="0"/>
    <pivotField showAll="0"/>
    <pivotField showAll="0">
      <items count="21">
        <item x="13"/>
        <item x="19"/>
        <item x="4"/>
        <item x="15"/>
        <item x="12"/>
        <item x="17"/>
        <item x="9"/>
        <item x="7"/>
        <item x="16"/>
        <item x="6"/>
        <item x="11"/>
        <item x="18"/>
        <item x="1"/>
        <item x="14"/>
        <item x="3"/>
        <item x="5"/>
        <item x="0"/>
        <item x="2"/>
        <item x="8"/>
        <item x="10"/>
        <item t="default"/>
      </items>
    </pivotField>
    <pivotField axis="axisRow" showAll="0">
      <items count="6">
        <item x="3"/>
        <item x="0"/>
        <item x="4"/>
        <item x="1"/>
        <item x="2"/>
        <item t="default"/>
      </items>
    </pivotField>
    <pivotField showAll="0"/>
    <pivotField showAll="0"/>
    <pivotField dataField="1" showAll="0"/>
    <pivotField showAll="0"/>
    <pivotField showAll="0">
      <items count="6">
        <item x="2"/>
        <item x="4"/>
        <item x="1"/>
        <item x="3"/>
        <item x="0"/>
        <item t="default"/>
      </items>
    </pivotField>
    <pivotField numFmtId="2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Total SaleAmount" fld="9" baseField="0" baseItem="0" numFmtId="167"/>
  </dataFields>
  <formats count="13">
    <format dxfId="256">
      <pivotArea field="6" type="button" dataOnly="0" labelOnly="1" outline="0" axis="axisRow" fieldPosition="0"/>
    </format>
    <format dxfId="255">
      <pivotArea dataOnly="0" labelOnly="1" outline="0" axis="axisValues" fieldPosition="0"/>
    </format>
    <format dxfId="254">
      <pivotArea field="6" type="button" dataOnly="0" labelOnly="1" outline="0" axis="axisRow" fieldPosition="0"/>
    </format>
    <format dxfId="253">
      <pivotArea dataOnly="0" labelOnly="1" outline="0" axis="axisValues" fieldPosition="0"/>
    </format>
    <format dxfId="252">
      <pivotArea grandRow="1" outline="0" collapsedLevelsAreSubtotals="1" fieldPosition="0"/>
    </format>
    <format dxfId="251">
      <pivotArea dataOnly="0" labelOnly="1" grandRow="1" outline="0" fieldPosition="0"/>
    </format>
    <format dxfId="250">
      <pivotArea type="all" dataOnly="0" outline="0" fieldPosition="0"/>
    </format>
    <format dxfId="249">
      <pivotArea outline="0" collapsedLevelsAreSubtotals="1" fieldPosition="0"/>
    </format>
    <format dxfId="248">
      <pivotArea field="6" type="button" dataOnly="0" labelOnly="1" outline="0" axis="axisRow" fieldPosition="0"/>
    </format>
    <format dxfId="247">
      <pivotArea dataOnly="0" labelOnly="1" fieldPosition="0">
        <references count="1">
          <reference field="6" count="0"/>
        </references>
      </pivotArea>
    </format>
    <format dxfId="246">
      <pivotArea dataOnly="0" labelOnly="1" grandRow="1" outline="0" fieldPosition="0"/>
    </format>
    <format dxfId="245">
      <pivotArea dataOnly="0" labelOnly="1" outline="0" axis="axisValues" fieldPosition="0"/>
    </format>
    <format dxfId="244">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3"/>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4"/>
          </reference>
        </references>
      </pivotArea>
    </chartFormat>
    <chartFormat chart="0" format="4">
      <pivotArea type="data" outline="0" fieldPosition="0">
        <references count="2">
          <reference field="4294967294" count="1" selected="0">
            <x v="0"/>
          </reference>
          <reference field="6" count="1" selected="0">
            <x v="1"/>
          </reference>
        </references>
      </pivotArea>
    </chartFormat>
    <chartFormat chart="0" format="5">
      <pivotArea type="data" outline="0" fieldPosition="0">
        <references count="2">
          <reference field="4294967294" count="1" selected="0">
            <x v="0"/>
          </reference>
          <reference field="6" count="1" selected="0">
            <x v="0"/>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6" count="1" selected="0">
            <x v="0"/>
          </reference>
        </references>
      </pivotArea>
    </chartFormat>
    <chartFormat chart="16" format="14">
      <pivotArea type="data" outline="0" fieldPosition="0">
        <references count="2">
          <reference field="4294967294" count="1" selected="0">
            <x v="0"/>
          </reference>
          <reference field="6" count="1" selected="0">
            <x v="1"/>
          </reference>
        </references>
      </pivotArea>
    </chartFormat>
    <chartFormat chart="16" format="15">
      <pivotArea type="data" outline="0" fieldPosition="0">
        <references count="2">
          <reference field="4294967294" count="1" selected="0">
            <x v="0"/>
          </reference>
          <reference field="6" count="1" selected="0">
            <x v="2"/>
          </reference>
        </references>
      </pivotArea>
    </chartFormat>
    <chartFormat chart="16" format="16">
      <pivotArea type="data" outline="0" fieldPosition="0">
        <references count="2">
          <reference field="4294967294" count="1" selected="0">
            <x v="0"/>
          </reference>
          <reference field="6" count="1" selected="0">
            <x v="3"/>
          </reference>
        </references>
      </pivotArea>
    </chartFormat>
    <chartFormat chart="16"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863597-FABA-4BF2-B550-B4F8A51958C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5">
    <pivotField showAll="0"/>
    <pivotField numFmtId="164" showAll="0">
      <items count="101">
        <item x="78"/>
        <item x="94"/>
        <item x="59"/>
        <item x="99"/>
        <item x="67"/>
        <item x="96"/>
        <item x="43"/>
        <item x="16"/>
        <item x="11"/>
        <item x="87"/>
        <item x="19"/>
        <item x="45"/>
        <item x="92"/>
        <item x="40"/>
        <item x="8"/>
        <item x="1"/>
        <item x="60"/>
        <item x="93"/>
        <item x="2"/>
        <item x="33"/>
        <item x="6"/>
        <item x="18"/>
        <item x="62"/>
        <item x="70"/>
        <item x="61"/>
        <item x="3"/>
        <item x="49"/>
        <item x="23"/>
        <item x="72"/>
        <item x="79"/>
        <item x="9"/>
        <item x="84"/>
        <item x="36"/>
        <item x="52"/>
        <item x="7"/>
        <item x="95"/>
        <item x="66"/>
        <item x="47"/>
        <item x="4"/>
        <item x="0"/>
        <item x="26"/>
        <item x="27"/>
        <item x="86"/>
        <item x="98"/>
        <item x="58"/>
        <item x="76"/>
        <item x="30"/>
        <item x="74"/>
        <item x="57"/>
        <item x="25"/>
        <item x="91"/>
        <item x="13"/>
        <item x="53"/>
        <item x="14"/>
        <item x="97"/>
        <item x="83"/>
        <item x="88"/>
        <item x="24"/>
        <item x="35"/>
        <item x="31"/>
        <item x="42"/>
        <item x="15"/>
        <item x="80"/>
        <item x="39"/>
        <item x="64"/>
        <item x="44"/>
        <item x="46"/>
        <item x="5"/>
        <item x="69"/>
        <item x="34"/>
        <item x="82"/>
        <item x="32"/>
        <item x="21"/>
        <item x="85"/>
        <item x="89"/>
        <item x="12"/>
        <item x="10"/>
        <item x="77"/>
        <item x="54"/>
        <item x="22"/>
        <item x="68"/>
        <item x="51"/>
        <item x="50"/>
        <item x="71"/>
        <item x="90"/>
        <item x="63"/>
        <item x="55"/>
        <item x="75"/>
        <item x="20"/>
        <item x="38"/>
        <item x="81"/>
        <item x="65"/>
        <item x="56"/>
        <item x="28"/>
        <item x="41"/>
        <item x="73"/>
        <item x="17"/>
        <item x="29"/>
        <item x="48"/>
        <item x="37"/>
        <item t="default"/>
      </items>
    </pivotField>
    <pivotField showAll="0"/>
    <pivotField showAll="0"/>
    <pivotField showAll="0"/>
    <pivotField showAll="0">
      <items count="21">
        <item x="13"/>
        <item x="19"/>
        <item x="4"/>
        <item x="15"/>
        <item x="12"/>
        <item x="17"/>
        <item x="9"/>
        <item x="7"/>
        <item x="16"/>
        <item x="6"/>
        <item x="11"/>
        <item x="18"/>
        <item x="1"/>
        <item x="14"/>
        <item x="3"/>
        <item x="5"/>
        <item x="0"/>
        <item x="2"/>
        <item x="8"/>
        <item x="10"/>
        <item t="default"/>
      </items>
    </pivotField>
    <pivotField showAll="0"/>
    <pivotField showAll="0"/>
    <pivotField showAll="0"/>
    <pivotField dataField="1" showAll="0"/>
    <pivotField showAll="0"/>
    <pivotField axis="axisRow" showAll="0">
      <items count="6">
        <item x="2"/>
        <item x="4"/>
        <item x="1"/>
        <item x="3"/>
        <item x="0"/>
        <item t="default"/>
      </items>
    </pivotField>
    <pivotField numFmtId="22"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6">
    <i>
      <x/>
    </i>
    <i>
      <x v="1"/>
    </i>
    <i>
      <x v="2"/>
    </i>
    <i>
      <x v="3"/>
    </i>
    <i>
      <x v="4"/>
    </i>
    <i t="grand">
      <x/>
    </i>
  </rowItems>
  <colItems count="1">
    <i/>
  </colItems>
  <dataFields count="1">
    <dataField name="Sum of SaleAmount" fld="9" baseField="11" baseItem="1"/>
  </dataFields>
  <formats count="15">
    <format dxfId="243">
      <pivotArea collapsedLevelsAreSubtotals="1" fieldPosition="0">
        <references count="1">
          <reference field="11" count="0"/>
        </references>
      </pivotArea>
    </format>
    <format dxfId="242">
      <pivotArea grandRow="1" outline="0" collapsedLevelsAreSubtotals="1" fieldPosition="0"/>
    </format>
    <format dxfId="241">
      <pivotArea dataOnly="0" labelOnly="1" grandRow="1" outline="0" fieldPosition="0"/>
    </format>
    <format dxfId="240">
      <pivotArea grandRow="1" outline="0" collapsedLevelsAreSubtotals="1" fieldPosition="0"/>
    </format>
    <format dxfId="239">
      <pivotArea dataOnly="0" labelOnly="1" grandRow="1" outline="0" fieldPosition="0"/>
    </format>
    <format dxfId="238">
      <pivotArea field="11" type="button" dataOnly="0" labelOnly="1" outline="0" axis="axisRow" fieldPosition="0"/>
    </format>
    <format dxfId="237">
      <pivotArea dataOnly="0" labelOnly="1" outline="0" axis="axisValues" fieldPosition="0"/>
    </format>
    <format dxfId="236">
      <pivotArea field="11" type="button" dataOnly="0" labelOnly="1" outline="0" axis="axisRow" fieldPosition="0"/>
    </format>
    <format dxfId="235">
      <pivotArea dataOnly="0" labelOnly="1" outline="0" axis="axisValues" fieldPosition="0"/>
    </format>
    <format dxfId="234">
      <pivotArea type="all" dataOnly="0" outline="0" fieldPosition="0"/>
    </format>
    <format dxfId="233">
      <pivotArea outline="0" collapsedLevelsAreSubtotals="1" fieldPosition="0"/>
    </format>
    <format dxfId="232">
      <pivotArea field="11" type="button" dataOnly="0" labelOnly="1" outline="0" axis="axisRow" fieldPosition="0"/>
    </format>
    <format dxfId="231">
      <pivotArea dataOnly="0" labelOnly="1" fieldPosition="0">
        <references count="1">
          <reference field="11" count="0"/>
        </references>
      </pivotArea>
    </format>
    <format dxfId="230">
      <pivotArea dataOnly="0" labelOnly="1" grandRow="1" outline="0" fieldPosition="0"/>
    </format>
    <format dxfId="22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3939BE-669C-4021-A88F-0FC9B252A1D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15">
    <pivotField showAll="0"/>
    <pivotField numFmtId="22" showAll="0">
      <items count="101">
        <item x="78"/>
        <item x="94"/>
        <item x="59"/>
        <item x="99"/>
        <item x="67"/>
        <item x="96"/>
        <item x="43"/>
        <item x="16"/>
        <item x="11"/>
        <item x="87"/>
        <item x="19"/>
        <item x="45"/>
        <item x="92"/>
        <item x="40"/>
        <item x="8"/>
        <item x="1"/>
        <item x="60"/>
        <item x="93"/>
        <item x="2"/>
        <item x="33"/>
        <item x="6"/>
        <item x="18"/>
        <item x="62"/>
        <item x="70"/>
        <item x="61"/>
        <item x="3"/>
        <item x="49"/>
        <item x="23"/>
        <item x="72"/>
        <item x="79"/>
        <item x="9"/>
        <item x="84"/>
        <item x="36"/>
        <item x="52"/>
        <item x="7"/>
        <item x="95"/>
        <item x="66"/>
        <item x="47"/>
        <item x="4"/>
        <item x="0"/>
        <item x="26"/>
        <item x="27"/>
        <item x="86"/>
        <item x="98"/>
        <item x="58"/>
        <item x="76"/>
        <item x="30"/>
        <item x="74"/>
        <item x="57"/>
        <item x="25"/>
        <item x="91"/>
        <item x="13"/>
        <item x="53"/>
        <item x="14"/>
        <item x="97"/>
        <item x="83"/>
        <item x="88"/>
        <item x="24"/>
        <item x="35"/>
        <item x="31"/>
        <item x="42"/>
        <item x="15"/>
        <item x="80"/>
        <item x="39"/>
        <item x="64"/>
        <item x="44"/>
        <item x="46"/>
        <item x="5"/>
        <item x="69"/>
        <item x="34"/>
        <item x="82"/>
        <item x="32"/>
        <item x="21"/>
        <item x="85"/>
        <item x="89"/>
        <item x="12"/>
        <item x="10"/>
        <item x="77"/>
        <item x="54"/>
        <item x="22"/>
        <item x="68"/>
        <item x="51"/>
        <item x="50"/>
        <item x="71"/>
        <item x="90"/>
        <item x="63"/>
        <item x="55"/>
        <item x="75"/>
        <item x="20"/>
        <item x="38"/>
        <item x="81"/>
        <item x="65"/>
        <item x="56"/>
        <item x="28"/>
        <item x="41"/>
        <item x="73"/>
        <item x="17"/>
        <item x="29"/>
        <item x="48"/>
        <item x="37"/>
        <item t="default"/>
      </items>
    </pivotField>
    <pivotField showAll="0"/>
    <pivotField showAll="0">
      <items count="13">
        <item x="8"/>
        <item x="6"/>
        <item x="1"/>
        <item x="2"/>
        <item x="4"/>
        <item x="0"/>
        <item x="11"/>
        <item x="7"/>
        <item x="3"/>
        <item x="5"/>
        <item x="10"/>
        <item x="9"/>
        <item t="default"/>
      </items>
    </pivotField>
    <pivotField showAll="0"/>
    <pivotField showAll="0">
      <items count="21">
        <item x="13"/>
        <item x="19"/>
        <item x="4"/>
        <item x="15"/>
        <item x="12"/>
        <item x="17"/>
        <item x="9"/>
        <item x="7"/>
        <item x="16"/>
        <item x="6"/>
        <item x="11"/>
        <item x="18"/>
        <item x="1"/>
        <item x="14"/>
        <item x="3"/>
        <item x="5"/>
        <item x="0"/>
        <item x="2"/>
        <item x="8"/>
        <item x="10"/>
        <item t="default"/>
      </items>
    </pivotField>
    <pivotField multipleItemSelectionAllowed="1" showAll="0">
      <items count="6">
        <item x="3"/>
        <item x="0"/>
        <item x="4"/>
        <item x="1"/>
        <item x="2"/>
        <item t="default"/>
      </items>
    </pivotField>
    <pivotField showAll="0"/>
    <pivotField showAll="0"/>
    <pivotField dataField="1" showAll="0"/>
    <pivotField showAll="0"/>
    <pivotField showAll="0">
      <items count="6">
        <item x="2"/>
        <item x="4"/>
        <item x="1"/>
        <item x="3"/>
        <item x="0"/>
        <item t="default"/>
      </items>
    </pivotField>
    <pivotField numFmtId="2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SaleAmount" fld="9" baseField="0" baseItem="0"/>
  </dataFields>
  <formats count="13">
    <format dxfId="228">
      <pivotArea field="14" type="button" dataOnly="0" labelOnly="1" outline="0" axis="axisRow" fieldPosition="0"/>
    </format>
    <format dxfId="227">
      <pivotArea dataOnly="0" labelOnly="1" outline="0" axis="axisValues" fieldPosition="0"/>
    </format>
    <format dxfId="226">
      <pivotArea field="14" type="button" dataOnly="0" labelOnly="1" outline="0" axis="axisRow" fieldPosition="0"/>
    </format>
    <format dxfId="225">
      <pivotArea dataOnly="0" labelOnly="1" outline="0" axis="axisValues" fieldPosition="0"/>
    </format>
    <format dxfId="224">
      <pivotArea grandRow="1" outline="0" collapsedLevelsAreSubtotals="1" fieldPosition="0"/>
    </format>
    <format dxfId="223">
      <pivotArea dataOnly="0" labelOnly="1" grandRow="1" outline="0" fieldPosition="0"/>
    </format>
    <format dxfId="222">
      <pivotArea type="all" dataOnly="0" outline="0" fieldPosition="0"/>
    </format>
    <format dxfId="221">
      <pivotArea outline="0" collapsedLevelsAreSubtotals="1" fieldPosition="0"/>
    </format>
    <format dxfId="220">
      <pivotArea field="14" type="button" dataOnly="0" labelOnly="1" outline="0" axis="axisRow" fieldPosition="0"/>
    </format>
    <format dxfId="219">
      <pivotArea dataOnly="0" labelOnly="1" fieldPosition="0">
        <references count="1">
          <reference field="14" count="9">
            <x v="3"/>
            <x v="4"/>
            <x v="5"/>
            <x v="7"/>
            <x v="8"/>
            <x v="9"/>
            <x v="10"/>
            <x v="11"/>
            <x v="12"/>
          </reference>
        </references>
      </pivotArea>
    </format>
    <format dxfId="218">
      <pivotArea dataOnly="0" labelOnly="1" grandRow="1" outline="0" fieldPosition="0"/>
    </format>
    <format dxfId="217">
      <pivotArea dataOnly="0" labelOnly="1" outline="0" axis="axisValues" fieldPosition="0"/>
    </format>
    <format dxfId="216">
      <pivotArea collapsedLevelsAreSubtotals="1" fieldPosition="0">
        <references count="1">
          <reference field="14" count="12">
            <x v="1"/>
            <x v="2"/>
            <x v="3"/>
            <x v="4"/>
            <x v="5"/>
            <x v="6"/>
            <x v="7"/>
            <x v="8"/>
            <x v="9"/>
            <x v="10"/>
            <x v="11"/>
            <x v="12"/>
          </reference>
        </references>
      </pivotArea>
    </format>
  </format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11E1F7D-0609-4521-9A85-C36A1E6470C9}" autoFormatId="16" applyNumberFormats="0" applyBorderFormats="0" applyFontFormats="0" applyPatternFormats="0" applyAlignmentFormats="0" applyWidthHeightFormats="0">
  <queryTableRefresh nextId="3">
    <queryTableFields count="2">
      <queryTableField id="1" name="Region" tableColumnId="1"/>
      <queryTableField id="2" name="average sales amount"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ED626283-86D9-420C-91FE-E9414515362B}" autoFormatId="16" applyNumberFormats="0" applyBorderFormats="0" applyFontFormats="0" applyPatternFormats="0" applyAlignmentFormats="0" applyWidthHeightFormats="0">
  <queryTableRefresh nextId="3">
    <queryTableFields count="2">
      <queryTableField id="1" name="SaleMonth" tableColumnId="1"/>
      <queryTableField id="2" name="month-wise revenue"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2" xr10:uid="{8AEB13CB-A13F-45CD-8C99-4B4BAC6C675E}" sourceName="ProductName">
  <pivotTables>
    <pivotTable tabId="5" name="PivotTable3"/>
    <pivotTable tabId="4" name="PivotTable2"/>
    <pivotTable tabId="3" name="PivotTable1"/>
  </pivotTables>
  <data>
    <tabular pivotCacheId="150306843">
      <items count="20">
        <i x="13" s="1"/>
        <i x="19" s="1"/>
        <i x="4" s="1"/>
        <i x="15" s="1"/>
        <i x="12" s="1"/>
        <i x="17" s="1"/>
        <i x="9" s="1"/>
        <i x="7" s="1"/>
        <i x="16" s="1"/>
        <i x="6" s="1"/>
        <i x="11" s="1"/>
        <i x="18" s="1"/>
        <i x="1" s="1"/>
        <i x="14" s="1"/>
        <i x="3" s="1"/>
        <i x="5" s="1"/>
        <i x="0" s="1"/>
        <i x="2" s="1"/>
        <i x="8"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8D5619C-2901-44B5-A4ED-05BC88210E37}" sourceName="Region">
  <pivotTables>
    <pivotTable tabId="3" name="PivotTable1"/>
    <pivotTable tabId="4" name="PivotTable2"/>
    <pivotTable tabId="5" name="PivotTable3"/>
    <pivotTable tabId="9" name="PivotTable6"/>
    <pivotTable tabId="9" name="PivotTable7"/>
  </pivotTables>
  <data>
    <tabular pivotCacheId="150306843">
      <items count="5">
        <i x="2" s="1"/>
        <i x="4"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DFE66C0D-6DE6-4EF4-9552-C5BC737DCB07}" sourceName="ProductName">
  <pivotTables>
    <pivotTable tabId="9" name="PivotTable7"/>
    <pivotTable tabId="8" name="PivotTable11"/>
  </pivotTables>
  <data>
    <tabular pivotCacheId="150306843">
      <items count="20">
        <i x="13" s="1"/>
        <i x="19" s="1"/>
        <i x="4" s="1"/>
        <i x="15" s="1"/>
        <i x="12" s="1"/>
        <i x="17" s="1"/>
        <i x="9" s="1"/>
        <i x="7" s="1"/>
        <i x="16" s="1"/>
        <i x="6" s="1"/>
        <i x="11" s="1"/>
        <i x="18" s="1"/>
        <i x="1" s="1"/>
        <i x="14" s="1"/>
        <i x="3" s="1"/>
        <i x="5" s="1"/>
        <i x="0" s="1"/>
        <i x="2" s="1"/>
        <i x="8"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3" xr10:uid="{4A900CF2-D624-45BB-81F2-21951FADDCDC}" cache="Slicer_ProductName2" caption="ProductName" startItem="9" style="SlicerStyleOther1" rowHeight="249238"/>
  <slicer name="Region 1" xr10:uid="{0B0BF5E2-E3CD-47A5-B036-C0CDA34DF25E}" cache="Slicer_Region" caption="Region" style="SlicerStyleOther1"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xr10:uid="{FDFF6782-13B4-4891-8169-2EF9710ECCB4}" cache="Slicer_ProductName" caption="ProductName" rowHeight="249238"/>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4" xr10:uid="{FBE72800-DE94-45FA-84E8-F632DFDF0C7C}" cache="Slicer_ProductName2" caption="ProductName" style="SlicerStyleOther1" rowHeight="249238"/>
  <slicer name="Region" xr10:uid="{1C3BA51A-B479-4E4C-88E6-B6030DDEDA93}" cache="Slicer_Region" caption="Region" style="SlicerStyleOther1" rowHeight="249238"/>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2" xr10:uid="{A1B9F676-DCA6-40D4-8AAF-98481BA5E366}" cache="Slicer_ProductName2" caption="ProductName" style="SlicerStyleOther1" rowHeight="249238"/>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1" xr10:uid="{552A5035-7036-4F42-A05C-6C8FA1F0EFDD}" cache="Slicer_ProductName2" caption="ProductName" style="SlicerStyleOther1"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CF538A-DF06-4677-A146-2DD6BC30995F}" name="average_sales_amount_per_region" displayName="average_sales_amount_per_region" ref="A1:B6" tableType="queryTable" totalsRowShown="0" headerRowDxfId="258">
  <autoFilter ref="A1:B6" xr:uid="{FCCF538A-DF06-4677-A146-2DD6BC30995F}"/>
  <sortState xmlns:xlrd2="http://schemas.microsoft.com/office/spreadsheetml/2017/richdata2" ref="A2:B6">
    <sortCondition descending="1" ref="B1:B6"/>
  </sortState>
  <tableColumns count="2">
    <tableColumn id="1" xr3:uid="{9AA804B3-2D41-46B6-B3D2-5EF9341BD339}" uniqueName="1" name="Region" queryTableFieldId="1" dataDxfId="257"/>
    <tableColumn id="2" xr3:uid="{6808B8C7-494F-45DB-9A3C-28EED56F82A0}" uniqueName="2" name="average sales amount" queryTableFieldId="2"/>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96C44F-8967-41D6-802D-3E2BA707CC88}" name="month_wise_revenue" displayName="month_wise_revenue" ref="A1:B13" tableType="queryTable" totalsRowShown="0" headerRowDxfId="215">
  <autoFilter ref="A1:B13" xr:uid="{3C96C44F-8967-41D6-802D-3E2BA707CC88}"/>
  <tableColumns count="2">
    <tableColumn id="1" xr3:uid="{93D171D6-DCD2-417F-87D8-3E626698A14C}" uniqueName="1" name="SaleMonth" queryTableFieldId="1"/>
    <tableColumn id="2" xr3:uid="{5277E43E-FDFB-4780-8544-6F8F561780FF}" uniqueName="2" name="month-wise revenue" queryTableFieldId="2" dataDxfId="214"/>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4F4F6-9BEB-4A68-9271-E62E262174CE}">
  <dimension ref="A1:M101"/>
  <sheetViews>
    <sheetView workbookViewId="0">
      <selection activeCell="D15" sqref="D15"/>
    </sheetView>
  </sheetViews>
  <sheetFormatPr defaultRowHeight="14.25" x14ac:dyDescent="0.45"/>
  <cols>
    <col min="1" max="1" width="8.1328125" customWidth="1"/>
    <col min="2" max="2" width="16" style="4" bestFit="1" customWidth="1"/>
    <col min="3" max="3" width="10.33203125" bestFit="1" customWidth="1"/>
    <col min="4" max="4" width="11.46484375" bestFit="1" customWidth="1"/>
    <col min="5" max="5" width="10.06640625" bestFit="1" customWidth="1"/>
    <col min="6" max="6" width="13.9296875" bestFit="1" customWidth="1"/>
    <col min="7" max="7" width="13.06640625" bestFit="1" customWidth="1"/>
    <col min="8" max="8" width="7.73046875" bestFit="1" customWidth="1"/>
    <col min="9" max="9" width="9.6640625" bestFit="1" customWidth="1"/>
    <col min="10" max="10" width="12.6640625" bestFit="1" customWidth="1"/>
    <col min="11" max="11" width="15.59765625" bestFit="1" customWidth="1"/>
    <col min="12" max="12" width="8.3984375" bestFit="1" customWidth="1"/>
    <col min="13" max="13" width="14.86328125" bestFit="1" customWidth="1"/>
  </cols>
  <sheetData>
    <row r="1" spans="1:13" x14ac:dyDescent="0.45">
      <c r="A1" s="13" t="s">
        <v>0</v>
      </c>
      <c r="B1" s="14" t="s">
        <v>1</v>
      </c>
      <c r="C1" s="15" t="s">
        <v>2</v>
      </c>
      <c r="D1" s="15" t="s">
        <v>3</v>
      </c>
      <c r="E1" s="15" t="s">
        <v>4</v>
      </c>
      <c r="F1" s="15" t="s">
        <v>5</v>
      </c>
      <c r="G1" s="15" t="s">
        <v>6</v>
      </c>
      <c r="H1" s="15" t="s">
        <v>7</v>
      </c>
      <c r="I1" s="15" t="s">
        <v>8</v>
      </c>
      <c r="J1" s="15" t="s">
        <v>9</v>
      </c>
      <c r="K1" s="15" t="s">
        <v>10</v>
      </c>
      <c r="L1" s="15" t="s">
        <v>11</v>
      </c>
      <c r="M1" s="16" t="s">
        <v>12</v>
      </c>
    </row>
    <row r="2" spans="1:13" x14ac:dyDescent="0.45">
      <c r="A2" s="5" t="s">
        <v>13</v>
      </c>
      <c r="B2" s="6">
        <v>45091.153067129628</v>
      </c>
      <c r="C2" s="7">
        <v>14</v>
      </c>
      <c r="D2" s="7">
        <v>6</v>
      </c>
      <c r="E2" s="7">
        <v>2023</v>
      </c>
      <c r="F2" s="7" t="s">
        <v>14</v>
      </c>
      <c r="G2" s="7" t="s">
        <v>15</v>
      </c>
      <c r="H2" s="7">
        <v>84.044300000000007</v>
      </c>
      <c r="I2" s="7">
        <v>5</v>
      </c>
      <c r="J2" s="7">
        <v>420.22</v>
      </c>
      <c r="K2" s="7" t="s">
        <v>16</v>
      </c>
      <c r="L2" s="7" t="s">
        <v>17</v>
      </c>
      <c r="M2" s="8">
        <v>44579.727384259262</v>
      </c>
    </row>
    <row r="3" spans="1:13" x14ac:dyDescent="0.45">
      <c r="A3" s="5" t="s">
        <v>18</v>
      </c>
      <c r="B3" s="6">
        <v>44994.280925925923</v>
      </c>
      <c r="C3" s="7">
        <v>9</v>
      </c>
      <c r="D3" s="7">
        <v>3</v>
      </c>
      <c r="E3" s="7">
        <v>2023</v>
      </c>
      <c r="F3" s="7" t="s">
        <v>19</v>
      </c>
      <c r="G3" s="7" t="s">
        <v>20</v>
      </c>
      <c r="H3" s="7">
        <v>80.159000000000006</v>
      </c>
      <c r="I3" s="7">
        <v>2</v>
      </c>
      <c r="J3" s="7">
        <v>160.32</v>
      </c>
      <c r="K3" s="7" t="s">
        <v>21</v>
      </c>
      <c r="L3" s="7" t="s">
        <v>17</v>
      </c>
      <c r="M3" s="8">
        <v>44474.010208333333</v>
      </c>
    </row>
    <row r="4" spans="1:13" x14ac:dyDescent="0.45">
      <c r="A4" s="5" t="s">
        <v>22</v>
      </c>
      <c r="B4" s="6">
        <v>45003.086712962962</v>
      </c>
      <c r="C4" s="7">
        <v>18</v>
      </c>
      <c r="D4" s="7">
        <v>3</v>
      </c>
      <c r="E4" s="7">
        <v>2023</v>
      </c>
      <c r="F4" s="7" t="s">
        <v>23</v>
      </c>
      <c r="G4" s="7" t="s">
        <v>15</v>
      </c>
      <c r="H4" s="7">
        <v>79.285700000000006</v>
      </c>
      <c r="I4" s="7">
        <v>5</v>
      </c>
      <c r="J4" s="7">
        <v>396.43</v>
      </c>
      <c r="K4" s="7" t="s">
        <v>24</v>
      </c>
      <c r="L4" s="7" t="s">
        <v>25</v>
      </c>
      <c r="M4" s="8">
        <v>44359.101203703707</v>
      </c>
    </row>
    <row r="5" spans="1:13" x14ac:dyDescent="0.45">
      <c r="A5" s="5" t="s">
        <v>26</v>
      </c>
      <c r="B5" s="6">
        <v>45027.515451388892</v>
      </c>
      <c r="C5" s="7">
        <v>11</v>
      </c>
      <c r="D5" s="7">
        <v>4</v>
      </c>
      <c r="E5" s="7">
        <v>2023</v>
      </c>
      <c r="F5" s="7" t="s">
        <v>27</v>
      </c>
      <c r="G5" s="7" t="s">
        <v>20</v>
      </c>
      <c r="H5" s="7">
        <v>62.581000000000003</v>
      </c>
      <c r="I5" s="7">
        <v>5</v>
      </c>
      <c r="J5" s="7">
        <v>312.89999999999998</v>
      </c>
      <c r="K5" s="7" t="s">
        <v>28</v>
      </c>
      <c r="L5" s="7" t="s">
        <v>29</v>
      </c>
      <c r="M5" s="8">
        <v>44153.826018518521</v>
      </c>
    </row>
    <row r="6" spans="1:13" x14ac:dyDescent="0.45">
      <c r="A6" s="5" t="s">
        <v>30</v>
      </c>
      <c r="B6" s="6">
        <v>45083.937037037038</v>
      </c>
      <c r="C6" s="7">
        <v>6</v>
      </c>
      <c r="D6" s="7">
        <v>6</v>
      </c>
      <c r="E6" s="7">
        <v>2023</v>
      </c>
      <c r="F6" s="7" t="s">
        <v>31</v>
      </c>
      <c r="G6" s="7" t="s">
        <v>15</v>
      </c>
      <c r="H6" s="7">
        <v>83.506699999999995</v>
      </c>
      <c r="I6" s="7">
        <v>5</v>
      </c>
      <c r="J6" s="7">
        <v>417.53</v>
      </c>
      <c r="K6" s="7" t="s">
        <v>32</v>
      </c>
      <c r="L6" s="7" t="s">
        <v>25</v>
      </c>
      <c r="M6" s="8">
        <v>44151.934907407405</v>
      </c>
    </row>
    <row r="7" spans="1:13" x14ac:dyDescent="0.45">
      <c r="A7" s="5" t="s">
        <v>33</v>
      </c>
      <c r="B7" s="6">
        <v>45184.733900462961</v>
      </c>
      <c r="C7" s="7">
        <v>15</v>
      </c>
      <c r="D7" s="7">
        <v>9</v>
      </c>
      <c r="E7" s="7">
        <v>2023</v>
      </c>
      <c r="F7" s="7" t="s">
        <v>34</v>
      </c>
      <c r="G7" s="7" t="s">
        <v>35</v>
      </c>
      <c r="H7" s="7">
        <v>58.258899999999997</v>
      </c>
      <c r="I7" s="7">
        <v>3</v>
      </c>
      <c r="J7" s="7">
        <v>174.78</v>
      </c>
      <c r="K7" s="7" t="s">
        <v>36</v>
      </c>
      <c r="L7" s="7" t="s">
        <v>37</v>
      </c>
      <c r="M7" s="8">
        <v>44243.703599537039</v>
      </c>
    </row>
    <row r="8" spans="1:13" x14ac:dyDescent="0.45">
      <c r="A8" s="5" t="s">
        <v>38</v>
      </c>
      <c r="B8" s="6">
        <v>45012.390740740739</v>
      </c>
      <c r="C8" s="7">
        <v>27</v>
      </c>
      <c r="D8" s="7">
        <v>3</v>
      </c>
      <c r="E8" s="7">
        <v>2023</v>
      </c>
      <c r="F8" s="7" t="s">
        <v>39</v>
      </c>
      <c r="G8" s="7" t="s">
        <v>40</v>
      </c>
      <c r="H8" s="7">
        <v>29.791499999999999</v>
      </c>
      <c r="I8" s="7">
        <v>3</v>
      </c>
      <c r="J8" s="7">
        <v>89.37</v>
      </c>
      <c r="K8" s="7" t="s">
        <v>41</v>
      </c>
      <c r="L8" s="7" t="s">
        <v>29</v>
      </c>
      <c r="M8" s="8">
        <v>44073.150104166663</v>
      </c>
    </row>
    <row r="9" spans="1:13" x14ac:dyDescent="0.45">
      <c r="A9" s="5" t="s">
        <v>42</v>
      </c>
      <c r="B9" s="6">
        <v>45072.300451388888</v>
      </c>
      <c r="C9" s="7">
        <v>26</v>
      </c>
      <c r="D9" s="7">
        <v>5</v>
      </c>
      <c r="E9" s="7">
        <v>2023</v>
      </c>
      <c r="F9" s="7" t="s">
        <v>19</v>
      </c>
      <c r="G9" s="7" t="s">
        <v>20</v>
      </c>
      <c r="H9" s="7">
        <v>80.159000000000006</v>
      </c>
      <c r="I9" s="7">
        <v>5</v>
      </c>
      <c r="J9" s="7">
        <v>400.79</v>
      </c>
      <c r="K9" s="7" t="s">
        <v>43</v>
      </c>
      <c r="L9" s="7" t="s">
        <v>25</v>
      </c>
      <c r="M9" s="8">
        <v>44734.665335648147</v>
      </c>
    </row>
    <row r="10" spans="1:13" x14ac:dyDescent="0.45">
      <c r="A10" s="5" t="s">
        <v>44</v>
      </c>
      <c r="B10" s="6">
        <v>44991.293645833335</v>
      </c>
      <c r="C10" s="7">
        <v>6</v>
      </c>
      <c r="D10" s="7">
        <v>3</v>
      </c>
      <c r="E10" s="7">
        <v>2023</v>
      </c>
      <c r="F10" s="7" t="s">
        <v>45</v>
      </c>
      <c r="G10" s="7" t="s">
        <v>15</v>
      </c>
      <c r="H10" s="7">
        <v>88.902799999999999</v>
      </c>
      <c r="I10" s="7">
        <v>2</v>
      </c>
      <c r="J10" s="7">
        <v>177.81</v>
      </c>
      <c r="K10" s="7" t="s">
        <v>36</v>
      </c>
      <c r="L10" s="7" t="s">
        <v>37</v>
      </c>
      <c r="M10" s="8">
        <v>44243.703599537039</v>
      </c>
    </row>
    <row r="11" spans="1:13" x14ac:dyDescent="0.45">
      <c r="A11" s="5" t="s">
        <v>46</v>
      </c>
      <c r="B11" s="6">
        <v>45047.990914351853</v>
      </c>
      <c r="C11" s="7">
        <v>1</v>
      </c>
      <c r="D11" s="7">
        <v>5</v>
      </c>
      <c r="E11" s="7">
        <v>2023</v>
      </c>
      <c r="F11" s="7" t="s">
        <v>19</v>
      </c>
      <c r="G11" s="7" t="s">
        <v>20</v>
      </c>
      <c r="H11" s="7">
        <v>80.159000000000006</v>
      </c>
      <c r="I11" s="7">
        <v>4</v>
      </c>
      <c r="J11" s="7">
        <v>320.64</v>
      </c>
      <c r="K11" s="7" t="s">
        <v>47</v>
      </c>
      <c r="L11" s="7" t="s">
        <v>29</v>
      </c>
      <c r="M11" s="8">
        <v>44547.625092592592</v>
      </c>
    </row>
    <row r="12" spans="1:13" x14ac:dyDescent="0.45">
      <c r="A12" s="5" t="s">
        <v>48</v>
      </c>
      <c r="B12" s="6">
        <v>45215.279687499999</v>
      </c>
      <c r="C12" s="7">
        <v>16</v>
      </c>
      <c r="D12" s="7">
        <v>10</v>
      </c>
      <c r="E12" s="7">
        <v>2023</v>
      </c>
      <c r="F12" s="7" t="s">
        <v>49</v>
      </c>
      <c r="G12" s="7" t="s">
        <v>20</v>
      </c>
      <c r="H12" s="7">
        <v>61.2789</v>
      </c>
      <c r="I12" s="7">
        <v>5</v>
      </c>
      <c r="J12" s="7">
        <v>306.39</v>
      </c>
      <c r="K12" s="7" t="s">
        <v>50</v>
      </c>
      <c r="L12" s="7" t="s">
        <v>17</v>
      </c>
      <c r="M12" s="8">
        <v>44639.844351851854</v>
      </c>
    </row>
    <row r="13" spans="1:13" x14ac:dyDescent="0.45">
      <c r="A13" s="5" t="s">
        <v>51</v>
      </c>
      <c r="B13" s="6">
        <v>44960.749571759261</v>
      </c>
      <c r="C13" s="7">
        <v>3</v>
      </c>
      <c r="D13" s="7">
        <v>2</v>
      </c>
      <c r="E13" s="7">
        <v>2023</v>
      </c>
      <c r="F13" s="7" t="s">
        <v>52</v>
      </c>
      <c r="G13" s="7" t="s">
        <v>53</v>
      </c>
      <c r="H13" s="7">
        <v>26.460100000000001</v>
      </c>
      <c r="I13" s="7">
        <v>3</v>
      </c>
      <c r="J13" s="7">
        <v>79.38</v>
      </c>
      <c r="K13" s="7" t="s">
        <v>54</v>
      </c>
      <c r="L13" s="7" t="s">
        <v>25</v>
      </c>
      <c r="M13" s="8">
        <v>44103.308055555557</v>
      </c>
    </row>
    <row r="14" spans="1:13" x14ac:dyDescent="0.45">
      <c r="A14" s="5" t="s">
        <v>55</v>
      </c>
      <c r="B14" s="6">
        <v>45214.100497685184</v>
      </c>
      <c r="C14" s="7">
        <v>15</v>
      </c>
      <c r="D14" s="7">
        <v>10</v>
      </c>
      <c r="E14" s="7">
        <v>2023</v>
      </c>
      <c r="F14" s="7" t="s">
        <v>39</v>
      </c>
      <c r="G14" s="7" t="s">
        <v>40</v>
      </c>
      <c r="H14" s="7">
        <v>29.791499999999999</v>
      </c>
      <c r="I14" s="7">
        <v>3</v>
      </c>
      <c r="J14" s="7">
        <v>89.37</v>
      </c>
      <c r="K14" s="7" t="s">
        <v>41</v>
      </c>
      <c r="L14" s="7" t="s">
        <v>29</v>
      </c>
      <c r="M14" s="8">
        <v>44073.150104166663</v>
      </c>
    </row>
    <row r="15" spans="1:13" x14ac:dyDescent="0.45">
      <c r="A15" s="5" t="s">
        <v>56</v>
      </c>
      <c r="B15" s="6">
        <v>45144.190706018519</v>
      </c>
      <c r="C15" s="7">
        <v>6</v>
      </c>
      <c r="D15" s="7">
        <v>8</v>
      </c>
      <c r="E15" s="7">
        <v>2023</v>
      </c>
      <c r="F15" s="7" t="s">
        <v>57</v>
      </c>
      <c r="G15" s="7" t="s">
        <v>35</v>
      </c>
      <c r="H15" s="7">
        <v>85.995400000000004</v>
      </c>
      <c r="I15" s="7">
        <v>3</v>
      </c>
      <c r="J15" s="7">
        <v>257.99</v>
      </c>
      <c r="K15" s="7" t="s">
        <v>58</v>
      </c>
      <c r="L15" s="7" t="s">
        <v>59</v>
      </c>
      <c r="M15" s="8">
        <v>44522.377581018518</v>
      </c>
    </row>
    <row r="16" spans="1:13" x14ac:dyDescent="0.45">
      <c r="A16" s="5" t="s">
        <v>60</v>
      </c>
      <c r="B16" s="6">
        <v>45148.941076388888</v>
      </c>
      <c r="C16" s="7">
        <v>10</v>
      </c>
      <c r="D16" s="7">
        <v>8</v>
      </c>
      <c r="E16" s="7">
        <v>2023</v>
      </c>
      <c r="F16" s="7" t="s">
        <v>61</v>
      </c>
      <c r="G16" s="7" t="s">
        <v>40</v>
      </c>
      <c r="H16" s="7">
        <v>89.156599999999997</v>
      </c>
      <c r="I16" s="7">
        <v>5</v>
      </c>
      <c r="J16" s="7">
        <v>445.78</v>
      </c>
      <c r="K16" s="7" t="s">
        <v>62</v>
      </c>
      <c r="L16" s="7" t="s">
        <v>29</v>
      </c>
      <c r="M16" s="8">
        <v>43993.762430555558</v>
      </c>
    </row>
    <row r="17" spans="1:13" x14ac:dyDescent="0.45">
      <c r="A17" s="5" t="s">
        <v>63</v>
      </c>
      <c r="B17" s="6">
        <v>45171.188287037039</v>
      </c>
      <c r="C17" s="7">
        <v>2</v>
      </c>
      <c r="D17" s="7">
        <v>9</v>
      </c>
      <c r="E17" s="7">
        <v>2023</v>
      </c>
      <c r="F17" s="7" t="s">
        <v>64</v>
      </c>
      <c r="G17" s="7" t="s">
        <v>53</v>
      </c>
      <c r="H17" s="7">
        <v>57.650599999999997</v>
      </c>
      <c r="I17" s="7">
        <v>1</v>
      </c>
      <c r="J17" s="7">
        <v>57.65</v>
      </c>
      <c r="K17" s="7" t="s">
        <v>54</v>
      </c>
      <c r="L17" s="7" t="s">
        <v>25</v>
      </c>
      <c r="M17" s="8">
        <v>44103.308055555557</v>
      </c>
    </row>
    <row r="18" spans="1:13" x14ac:dyDescent="0.45">
      <c r="A18" s="5" t="s">
        <v>65</v>
      </c>
      <c r="B18" s="6">
        <v>44955.162488425929</v>
      </c>
      <c r="C18" s="7">
        <v>29</v>
      </c>
      <c r="D18" s="7">
        <v>1</v>
      </c>
      <c r="E18" s="7">
        <v>2023</v>
      </c>
      <c r="F18" s="7" t="s">
        <v>57</v>
      </c>
      <c r="G18" s="7" t="s">
        <v>35</v>
      </c>
      <c r="H18" s="7">
        <v>85.995400000000004</v>
      </c>
      <c r="I18" s="7">
        <v>3</v>
      </c>
      <c r="J18" s="7">
        <v>257.99</v>
      </c>
      <c r="K18" s="7" t="s">
        <v>66</v>
      </c>
      <c r="L18" s="7" t="s">
        <v>17</v>
      </c>
      <c r="M18" s="8">
        <v>44361.972187500003</v>
      </c>
    </row>
    <row r="19" spans="1:13" x14ac:dyDescent="0.45">
      <c r="A19" s="5" t="s">
        <v>67</v>
      </c>
      <c r="B19" s="6">
        <v>45276.403032407405</v>
      </c>
      <c r="C19" s="7">
        <v>16</v>
      </c>
      <c r="D19" s="7">
        <v>12</v>
      </c>
      <c r="E19" s="7">
        <v>2023</v>
      </c>
      <c r="F19" s="7" t="s">
        <v>23</v>
      </c>
      <c r="G19" s="7" t="s">
        <v>15</v>
      </c>
      <c r="H19" s="7">
        <v>79.285700000000006</v>
      </c>
      <c r="I19" s="7">
        <v>5</v>
      </c>
      <c r="J19" s="7">
        <v>396.43</v>
      </c>
      <c r="K19" s="7" t="s">
        <v>68</v>
      </c>
      <c r="L19" s="7" t="s">
        <v>37</v>
      </c>
      <c r="M19" s="8">
        <v>44828.180694444447</v>
      </c>
    </row>
    <row r="20" spans="1:13" x14ac:dyDescent="0.45">
      <c r="A20" s="5" t="s">
        <v>69</v>
      </c>
      <c r="B20" s="6">
        <v>45013.401145833333</v>
      </c>
      <c r="C20" s="7">
        <v>28</v>
      </c>
      <c r="D20" s="7">
        <v>3</v>
      </c>
      <c r="E20" s="7">
        <v>2023</v>
      </c>
      <c r="F20" s="7" t="s">
        <v>34</v>
      </c>
      <c r="G20" s="7" t="s">
        <v>35</v>
      </c>
      <c r="H20" s="7">
        <v>58.258899999999997</v>
      </c>
      <c r="I20" s="7">
        <v>4</v>
      </c>
      <c r="J20" s="7">
        <v>233.04</v>
      </c>
      <c r="K20" s="7" t="s">
        <v>70</v>
      </c>
      <c r="L20" s="7" t="s">
        <v>25</v>
      </c>
      <c r="M20" s="8">
        <v>44140.402731481481</v>
      </c>
    </row>
    <row r="21" spans="1:13" x14ac:dyDescent="0.45">
      <c r="A21" s="5" t="s">
        <v>71</v>
      </c>
      <c r="B21" s="6">
        <v>44980.474895833337</v>
      </c>
      <c r="C21" s="7">
        <v>23</v>
      </c>
      <c r="D21" s="7">
        <v>2</v>
      </c>
      <c r="E21" s="7">
        <v>2023</v>
      </c>
      <c r="F21" s="7" t="s">
        <v>49</v>
      </c>
      <c r="G21" s="7" t="s">
        <v>20</v>
      </c>
      <c r="H21" s="7">
        <v>61.2789</v>
      </c>
      <c r="I21" s="7">
        <v>1</v>
      </c>
      <c r="J21" s="7">
        <v>61.28</v>
      </c>
      <c r="K21" s="7" t="s">
        <v>72</v>
      </c>
      <c r="L21" s="7" t="s">
        <v>29</v>
      </c>
      <c r="M21" s="8">
        <v>44601.013969907406</v>
      </c>
    </row>
    <row r="22" spans="1:13" x14ac:dyDescent="0.45">
      <c r="A22" s="5" t="s">
        <v>73</v>
      </c>
      <c r="B22" s="6">
        <v>45241.785196759258</v>
      </c>
      <c r="C22" s="7">
        <v>11</v>
      </c>
      <c r="D22" s="7">
        <v>11</v>
      </c>
      <c r="E22" s="7">
        <v>2023</v>
      </c>
      <c r="F22" s="7" t="s">
        <v>27</v>
      </c>
      <c r="G22" s="7" t="s">
        <v>20</v>
      </c>
      <c r="H22" s="7">
        <v>62.581000000000003</v>
      </c>
      <c r="I22" s="7">
        <v>4</v>
      </c>
      <c r="J22" s="7">
        <v>250.32</v>
      </c>
      <c r="K22" s="7" t="s">
        <v>32</v>
      </c>
      <c r="L22" s="7" t="s">
        <v>25</v>
      </c>
      <c r="M22" s="8">
        <v>44151.934907407405</v>
      </c>
    </row>
    <row r="23" spans="1:13" x14ac:dyDescent="0.45">
      <c r="A23" s="5" t="s">
        <v>74</v>
      </c>
      <c r="B23" s="6">
        <v>45196.332442129627</v>
      </c>
      <c r="C23" s="7">
        <v>27</v>
      </c>
      <c r="D23" s="7">
        <v>9</v>
      </c>
      <c r="E23" s="7">
        <v>2023</v>
      </c>
      <c r="F23" s="7" t="s">
        <v>75</v>
      </c>
      <c r="G23" s="7" t="s">
        <v>20</v>
      </c>
      <c r="H23" s="7">
        <v>72.222800000000007</v>
      </c>
      <c r="I23" s="7">
        <v>1</v>
      </c>
      <c r="J23" s="7">
        <v>72.22</v>
      </c>
      <c r="K23" s="7" t="s">
        <v>76</v>
      </c>
      <c r="L23" s="7" t="s">
        <v>25</v>
      </c>
      <c r="M23" s="8">
        <v>44447.27380787037</v>
      </c>
    </row>
    <row r="24" spans="1:13" x14ac:dyDescent="0.45">
      <c r="A24" s="5" t="s">
        <v>77</v>
      </c>
      <c r="B24" s="6">
        <v>45220.397650462961</v>
      </c>
      <c r="C24" s="7">
        <v>21</v>
      </c>
      <c r="D24" s="7">
        <v>10</v>
      </c>
      <c r="E24" s="7">
        <v>2023</v>
      </c>
      <c r="F24" s="7" t="s">
        <v>61</v>
      </c>
      <c r="G24" s="7" t="s">
        <v>40</v>
      </c>
      <c r="H24" s="7">
        <v>89.156599999999997</v>
      </c>
      <c r="I24" s="7">
        <v>3</v>
      </c>
      <c r="J24" s="7">
        <v>267.47000000000003</v>
      </c>
      <c r="K24" s="7" t="s">
        <v>66</v>
      </c>
      <c r="L24" s="7" t="s">
        <v>17</v>
      </c>
      <c r="M24" s="8">
        <v>44361.972187500003</v>
      </c>
    </row>
    <row r="25" spans="1:13" x14ac:dyDescent="0.45">
      <c r="A25" s="5" t="s">
        <v>78</v>
      </c>
      <c r="B25" s="6">
        <v>45045.238692129627</v>
      </c>
      <c r="C25" s="7">
        <v>29</v>
      </c>
      <c r="D25" s="7">
        <v>4</v>
      </c>
      <c r="E25" s="7">
        <v>2023</v>
      </c>
      <c r="F25" s="7" t="s">
        <v>79</v>
      </c>
      <c r="G25" s="7" t="s">
        <v>40</v>
      </c>
      <c r="H25" s="7">
        <v>53.051900000000003</v>
      </c>
      <c r="I25" s="7">
        <v>4</v>
      </c>
      <c r="J25" s="7">
        <v>212.21</v>
      </c>
      <c r="K25" s="7" t="s">
        <v>80</v>
      </c>
      <c r="L25" s="7" t="s">
        <v>25</v>
      </c>
      <c r="M25" s="8">
        <v>44292.761377314811</v>
      </c>
    </row>
    <row r="26" spans="1:13" x14ac:dyDescent="0.45">
      <c r="A26" s="5" t="s">
        <v>81</v>
      </c>
      <c r="B26" s="6">
        <v>45162.827777777777</v>
      </c>
      <c r="C26" s="7">
        <v>24</v>
      </c>
      <c r="D26" s="7">
        <v>8</v>
      </c>
      <c r="E26" s="7">
        <v>2023</v>
      </c>
      <c r="F26" s="7" t="s">
        <v>39</v>
      </c>
      <c r="G26" s="7" t="s">
        <v>40</v>
      </c>
      <c r="H26" s="7">
        <v>29.791499999999999</v>
      </c>
      <c r="I26" s="7">
        <v>3</v>
      </c>
      <c r="J26" s="7">
        <v>89.37</v>
      </c>
      <c r="K26" s="7" t="s">
        <v>82</v>
      </c>
      <c r="L26" s="7" t="s">
        <v>25</v>
      </c>
      <c r="M26" s="8">
        <v>44613.203692129631</v>
      </c>
    </row>
    <row r="27" spans="1:13" x14ac:dyDescent="0.45">
      <c r="A27" s="5" t="s">
        <v>83</v>
      </c>
      <c r="B27" s="6">
        <v>45139.771192129629</v>
      </c>
      <c r="C27" s="7">
        <v>1</v>
      </c>
      <c r="D27" s="7">
        <v>8</v>
      </c>
      <c r="E27" s="7">
        <v>2023</v>
      </c>
      <c r="F27" s="7" t="s">
        <v>84</v>
      </c>
      <c r="G27" s="7" t="s">
        <v>40</v>
      </c>
      <c r="H27" s="7">
        <v>51.751600000000003</v>
      </c>
      <c r="I27" s="7">
        <v>4</v>
      </c>
      <c r="J27" s="7">
        <v>207.01</v>
      </c>
      <c r="K27" s="7" t="s">
        <v>32</v>
      </c>
      <c r="L27" s="7" t="s">
        <v>25</v>
      </c>
      <c r="M27" s="8">
        <v>44151.934907407405</v>
      </c>
    </row>
    <row r="28" spans="1:13" x14ac:dyDescent="0.45">
      <c r="A28" s="5" t="s">
        <v>85</v>
      </c>
      <c r="B28" s="6">
        <v>45100.663506944446</v>
      </c>
      <c r="C28" s="7">
        <v>23</v>
      </c>
      <c r="D28" s="7">
        <v>6</v>
      </c>
      <c r="E28" s="7">
        <v>2023</v>
      </c>
      <c r="F28" s="7" t="s">
        <v>34</v>
      </c>
      <c r="G28" s="7" t="s">
        <v>35</v>
      </c>
      <c r="H28" s="7">
        <v>58.258899999999997</v>
      </c>
      <c r="I28" s="7">
        <v>2</v>
      </c>
      <c r="J28" s="7">
        <v>116.52</v>
      </c>
      <c r="K28" s="7" t="s">
        <v>80</v>
      </c>
      <c r="L28" s="7" t="s">
        <v>25</v>
      </c>
      <c r="M28" s="8">
        <v>44292.761377314811</v>
      </c>
    </row>
    <row r="29" spans="1:13" x14ac:dyDescent="0.45">
      <c r="A29" s="5" t="s">
        <v>86</v>
      </c>
      <c r="B29" s="6">
        <v>45107.581342592595</v>
      </c>
      <c r="C29" s="7">
        <v>30</v>
      </c>
      <c r="D29" s="7">
        <v>6</v>
      </c>
      <c r="E29" s="7">
        <v>2023</v>
      </c>
      <c r="F29" s="7" t="s">
        <v>75</v>
      </c>
      <c r="G29" s="7" t="s">
        <v>20</v>
      </c>
      <c r="H29" s="7">
        <v>72.222800000000007</v>
      </c>
      <c r="I29" s="7">
        <v>5</v>
      </c>
      <c r="J29" s="7">
        <v>361.11</v>
      </c>
      <c r="K29" s="7" t="s">
        <v>87</v>
      </c>
      <c r="L29" s="7" t="s">
        <v>59</v>
      </c>
      <c r="M29" s="8">
        <v>44129.135393518518</v>
      </c>
    </row>
    <row r="30" spans="1:13" x14ac:dyDescent="0.45">
      <c r="A30" s="5" t="s">
        <v>88</v>
      </c>
      <c r="B30" s="6">
        <v>45258.319756944446</v>
      </c>
      <c r="C30" s="7">
        <v>28</v>
      </c>
      <c r="D30" s="7">
        <v>11</v>
      </c>
      <c r="E30" s="7">
        <v>2023</v>
      </c>
      <c r="F30" s="7" t="s">
        <v>14</v>
      </c>
      <c r="G30" s="7" t="s">
        <v>15</v>
      </c>
      <c r="H30" s="7">
        <v>84.044300000000007</v>
      </c>
      <c r="I30" s="7">
        <v>3</v>
      </c>
      <c r="J30" s="7">
        <v>252.13</v>
      </c>
      <c r="K30" s="7" t="s">
        <v>36</v>
      </c>
      <c r="L30" s="7" t="s">
        <v>37</v>
      </c>
      <c r="M30" s="8">
        <v>44243.703599537039</v>
      </c>
    </row>
    <row r="31" spans="1:13" x14ac:dyDescent="0.45">
      <c r="A31" s="5" t="s">
        <v>89</v>
      </c>
      <c r="B31" s="6">
        <v>45280.761157407411</v>
      </c>
      <c r="C31" s="7">
        <v>20</v>
      </c>
      <c r="D31" s="7">
        <v>12</v>
      </c>
      <c r="E31" s="7">
        <v>2023</v>
      </c>
      <c r="F31" s="7" t="s">
        <v>57</v>
      </c>
      <c r="G31" s="7" t="s">
        <v>35</v>
      </c>
      <c r="H31" s="7">
        <v>85.995400000000004</v>
      </c>
      <c r="I31" s="7">
        <v>4</v>
      </c>
      <c r="J31" s="7">
        <v>343.98</v>
      </c>
      <c r="K31" s="7" t="s">
        <v>76</v>
      </c>
      <c r="L31" s="7" t="s">
        <v>25</v>
      </c>
      <c r="M31" s="8">
        <v>44447.27380787037</v>
      </c>
    </row>
    <row r="32" spans="1:13" x14ac:dyDescent="0.45">
      <c r="A32" s="5" t="s">
        <v>90</v>
      </c>
      <c r="B32" s="6">
        <v>45123.865277777775</v>
      </c>
      <c r="C32" s="7">
        <v>16</v>
      </c>
      <c r="D32" s="7">
        <v>7</v>
      </c>
      <c r="E32" s="7">
        <v>2023</v>
      </c>
      <c r="F32" s="7" t="s">
        <v>57</v>
      </c>
      <c r="G32" s="7" t="s">
        <v>35</v>
      </c>
      <c r="H32" s="7">
        <v>85.995400000000004</v>
      </c>
      <c r="I32" s="7">
        <v>1</v>
      </c>
      <c r="J32" s="7">
        <v>86</v>
      </c>
      <c r="K32" s="7" t="s">
        <v>32</v>
      </c>
      <c r="L32" s="7" t="s">
        <v>25</v>
      </c>
      <c r="M32" s="8">
        <v>44151.934907407405</v>
      </c>
    </row>
    <row r="33" spans="1:13" x14ac:dyDescent="0.45">
      <c r="A33" s="5" t="s">
        <v>91</v>
      </c>
      <c r="B33" s="6">
        <v>45165.003657407404</v>
      </c>
      <c r="C33" s="7">
        <v>27</v>
      </c>
      <c r="D33" s="7">
        <v>8</v>
      </c>
      <c r="E33" s="7">
        <v>2023</v>
      </c>
      <c r="F33" s="7" t="s">
        <v>92</v>
      </c>
      <c r="G33" s="7" t="s">
        <v>53</v>
      </c>
      <c r="H33" s="7">
        <v>66.628200000000007</v>
      </c>
      <c r="I33" s="7">
        <v>5</v>
      </c>
      <c r="J33" s="7">
        <v>333.14</v>
      </c>
      <c r="K33" s="7" t="s">
        <v>93</v>
      </c>
      <c r="L33" s="7" t="s">
        <v>59</v>
      </c>
      <c r="M33" s="8">
        <v>44705.858611111114</v>
      </c>
    </row>
    <row r="34" spans="1:13" x14ac:dyDescent="0.45">
      <c r="A34" s="5" t="s">
        <v>94</v>
      </c>
      <c r="B34" s="6">
        <v>45193.384930555556</v>
      </c>
      <c r="C34" s="7">
        <v>24</v>
      </c>
      <c r="D34" s="7">
        <v>9</v>
      </c>
      <c r="E34" s="7">
        <v>2023</v>
      </c>
      <c r="F34" s="7" t="s">
        <v>31</v>
      </c>
      <c r="G34" s="7" t="s">
        <v>15</v>
      </c>
      <c r="H34" s="7">
        <v>83.506699999999995</v>
      </c>
      <c r="I34" s="7">
        <v>5</v>
      </c>
      <c r="J34" s="7">
        <v>417.53</v>
      </c>
      <c r="K34" s="7" t="s">
        <v>66</v>
      </c>
      <c r="L34" s="7" t="s">
        <v>17</v>
      </c>
      <c r="M34" s="8">
        <v>44361.972187500003</v>
      </c>
    </row>
    <row r="35" spans="1:13" x14ac:dyDescent="0.45">
      <c r="A35" s="5" t="s">
        <v>95</v>
      </c>
      <c r="B35" s="6">
        <v>45012.195613425924</v>
      </c>
      <c r="C35" s="7">
        <v>27</v>
      </c>
      <c r="D35" s="7">
        <v>3</v>
      </c>
      <c r="E35" s="7">
        <v>2023</v>
      </c>
      <c r="F35" s="7" t="s">
        <v>27</v>
      </c>
      <c r="G35" s="7" t="s">
        <v>20</v>
      </c>
      <c r="H35" s="7">
        <v>62.581000000000003</v>
      </c>
      <c r="I35" s="7">
        <v>3</v>
      </c>
      <c r="J35" s="7">
        <v>187.74</v>
      </c>
      <c r="K35" s="7" t="s">
        <v>96</v>
      </c>
      <c r="L35" s="7" t="s">
        <v>17</v>
      </c>
      <c r="M35" s="8">
        <v>44426.505219907405</v>
      </c>
    </row>
    <row r="36" spans="1:13" x14ac:dyDescent="0.45">
      <c r="A36" s="5" t="s">
        <v>97</v>
      </c>
      <c r="B36" s="6">
        <v>45190.574837962966</v>
      </c>
      <c r="C36" s="7">
        <v>21</v>
      </c>
      <c r="D36" s="7">
        <v>9</v>
      </c>
      <c r="E36" s="7">
        <v>2023</v>
      </c>
      <c r="F36" s="7" t="s">
        <v>14</v>
      </c>
      <c r="G36" s="7" t="s">
        <v>15</v>
      </c>
      <c r="H36" s="7">
        <v>84.044300000000007</v>
      </c>
      <c r="I36" s="7">
        <v>4</v>
      </c>
      <c r="J36" s="7">
        <v>336.18</v>
      </c>
      <c r="K36" s="7" t="s">
        <v>68</v>
      </c>
      <c r="L36" s="7" t="s">
        <v>37</v>
      </c>
      <c r="M36" s="8">
        <v>44828.180694444447</v>
      </c>
    </row>
    <row r="37" spans="1:13" x14ac:dyDescent="0.45">
      <c r="A37" s="5" t="s">
        <v>98</v>
      </c>
      <c r="B37" s="6">
        <v>45164.469513888886</v>
      </c>
      <c r="C37" s="7">
        <v>26</v>
      </c>
      <c r="D37" s="7">
        <v>8</v>
      </c>
      <c r="E37" s="7">
        <v>2023</v>
      </c>
      <c r="F37" s="7" t="s">
        <v>45</v>
      </c>
      <c r="G37" s="7" t="s">
        <v>15</v>
      </c>
      <c r="H37" s="7">
        <v>88.902799999999999</v>
      </c>
      <c r="I37" s="7">
        <v>4</v>
      </c>
      <c r="J37" s="7">
        <v>355.61</v>
      </c>
      <c r="K37" s="7" t="s">
        <v>99</v>
      </c>
      <c r="L37" s="7" t="s">
        <v>29</v>
      </c>
      <c r="M37" s="8">
        <v>44910.035833333335</v>
      </c>
    </row>
    <row r="38" spans="1:13" x14ac:dyDescent="0.45">
      <c r="A38" s="5" t="s">
        <v>100</v>
      </c>
      <c r="B38" s="6">
        <v>45053.193391203706</v>
      </c>
      <c r="C38" s="7">
        <v>7</v>
      </c>
      <c r="D38" s="7">
        <v>5</v>
      </c>
      <c r="E38" s="7">
        <v>2023</v>
      </c>
      <c r="F38" s="7" t="s">
        <v>39</v>
      </c>
      <c r="G38" s="7" t="s">
        <v>40</v>
      </c>
      <c r="H38" s="7">
        <v>29.791499999999999</v>
      </c>
      <c r="I38" s="7">
        <v>5</v>
      </c>
      <c r="J38" s="7">
        <v>148.96</v>
      </c>
      <c r="K38" s="7" t="s">
        <v>54</v>
      </c>
      <c r="L38" s="7" t="s">
        <v>25</v>
      </c>
      <c r="M38" s="8">
        <v>44103.308055555557</v>
      </c>
    </row>
    <row r="39" spans="1:13" x14ac:dyDescent="0.45">
      <c r="A39" s="5" t="s">
        <v>101</v>
      </c>
      <c r="B39" s="6">
        <v>45290.575462962966</v>
      </c>
      <c r="C39" s="7">
        <v>30</v>
      </c>
      <c r="D39" s="7">
        <v>12</v>
      </c>
      <c r="E39" s="7">
        <v>2023</v>
      </c>
      <c r="F39" s="7" t="s">
        <v>45</v>
      </c>
      <c r="G39" s="7" t="s">
        <v>15</v>
      </c>
      <c r="H39" s="7">
        <v>88.902799999999999</v>
      </c>
      <c r="I39" s="7">
        <v>3</v>
      </c>
      <c r="J39" s="7">
        <v>266.70999999999998</v>
      </c>
      <c r="K39" s="7" t="s">
        <v>102</v>
      </c>
      <c r="L39" s="7" t="s">
        <v>17</v>
      </c>
      <c r="M39" s="8">
        <v>43844.110219907408</v>
      </c>
    </row>
    <row r="40" spans="1:13" x14ac:dyDescent="0.45">
      <c r="A40" s="5" t="s">
        <v>103</v>
      </c>
      <c r="B40" s="6">
        <v>45241.896377314813</v>
      </c>
      <c r="C40" s="7">
        <v>11</v>
      </c>
      <c r="D40" s="7">
        <v>11</v>
      </c>
      <c r="E40" s="7">
        <v>2023</v>
      </c>
      <c r="F40" s="7" t="s">
        <v>79</v>
      </c>
      <c r="G40" s="7" t="s">
        <v>40</v>
      </c>
      <c r="H40" s="7">
        <v>53.051900000000003</v>
      </c>
      <c r="I40" s="7">
        <v>5</v>
      </c>
      <c r="J40" s="7">
        <v>265.26</v>
      </c>
      <c r="K40" s="7" t="s">
        <v>104</v>
      </c>
      <c r="L40" s="7" t="s">
        <v>25</v>
      </c>
      <c r="M40" s="8">
        <v>44645.906111111108</v>
      </c>
    </row>
    <row r="41" spans="1:13" x14ac:dyDescent="0.45">
      <c r="A41" s="5" t="s">
        <v>105</v>
      </c>
      <c r="B41" s="6">
        <v>45176.724317129629</v>
      </c>
      <c r="C41" s="7">
        <v>7</v>
      </c>
      <c r="D41" s="7">
        <v>9</v>
      </c>
      <c r="E41" s="7">
        <v>2023</v>
      </c>
      <c r="F41" s="7" t="s">
        <v>39</v>
      </c>
      <c r="G41" s="7" t="s">
        <v>40</v>
      </c>
      <c r="H41" s="7">
        <v>29.791499999999999</v>
      </c>
      <c r="I41" s="7">
        <v>3</v>
      </c>
      <c r="J41" s="7">
        <v>89.37</v>
      </c>
      <c r="K41" s="7" t="s">
        <v>106</v>
      </c>
      <c r="L41" s="7" t="s">
        <v>59</v>
      </c>
      <c r="M41" s="8">
        <v>44665.264999999999</v>
      </c>
    </row>
    <row r="42" spans="1:13" x14ac:dyDescent="0.45">
      <c r="A42" s="5" t="s">
        <v>107</v>
      </c>
      <c r="B42" s="6">
        <v>44990.720729166664</v>
      </c>
      <c r="C42" s="7">
        <v>5</v>
      </c>
      <c r="D42" s="7">
        <v>3</v>
      </c>
      <c r="E42" s="7">
        <v>2023</v>
      </c>
      <c r="F42" s="7" t="s">
        <v>49</v>
      </c>
      <c r="G42" s="7" t="s">
        <v>20</v>
      </c>
      <c r="H42" s="7">
        <v>61.2789</v>
      </c>
      <c r="I42" s="7">
        <v>2</v>
      </c>
      <c r="J42" s="7">
        <v>122.56</v>
      </c>
      <c r="K42" s="7" t="s">
        <v>102</v>
      </c>
      <c r="L42" s="7" t="s">
        <v>17</v>
      </c>
      <c r="M42" s="8">
        <v>43844.110219907408</v>
      </c>
    </row>
    <row r="43" spans="1:13" x14ac:dyDescent="0.45">
      <c r="A43" s="5" t="s">
        <v>108</v>
      </c>
      <c r="B43" s="6">
        <v>45266.555879629632</v>
      </c>
      <c r="C43" s="7">
        <v>6</v>
      </c>
      <c r="D43" s="7">
        <v>12</v>
      </c>
      <c r="E43" s="7">
        <v>2023</v>
      </c>
      <c r="F43" s="7" t="s">
        <v>109</v>
      </c>
      <c r="G43" s="7" t="s">
        <v>40</v>
      </c>
      <c r="H43" s="7">
        <v>20.389500000000002</v>
      </c>
      <c r="I43" s="7">
        <v>2</v>
      </c>
      <c r="J43" s="7">
        <v>40.78</v>
      </c>
      <c r="K43" s="7" t="s">
        <v>36</v>
      </c>
      <c r="L43" s="7" t="s">
        <v>37</v>
      </c>
      <c r="M43" s="8">
        <v>44243.703599537039</v>
      </c>
    </row>
    <row r="44" spans="1:13" x14ac:dyDescent="0.45">
      <c r="A44" s="5" t="s">
        <v>110</v>
      </c>
      <c r="B44" s="6">
        <v>45165.442870370367</v>
      </c>
      <c r="C44" s="7">
        <v>27</v>
      </c>
      <c r="D44" s="7">
        <v>8</v>
      </c>
      <c r="E44" s="7">
        <v>2023</v>
      </c>
      <c r="F44" s="7" t="s">
        <v>84</v>
      </c>
      <c r="G44" s="7" t="s">
        <v>40</v>
      </c>
      <c r="H44" s="7">
        <v>51.751600000000003</v>
      </c>
      <c r="I44" s="7">
        <v>4</v>
      </c>
      <c r="J44" s="7">
        <v>207.01</v>
      </c>
      <c r="K44" s="7" t="s">
        <v>93</v>
      </c>
      <c r="L44" s="7" t="s">
        <v>59</v>
      </c>
      <c r="M44" s="8">
        <v>44705.858611111114</v>
      </c>
    </row>
    <row r="45" spans="1:13" x14ac:dyDescent="0.45">
      <c r="A45" s="5" t="s">
        <v>111</v>
      </c>
      <c r="B45" s="6">
        <v>44952.841493055559</v>
      </c>
      <c r="C45" s="7">
        <v>26</v>
      </c>
      <c r="D45" s="7">
        <v>1</v>
      </c>
      <c r="E45" s="7">
        <v>2023</v>
      </c>
      <c r="F45" s="7" t="s">
        <v>34</v>
      </c>
      <c r="G45" s="7" t="s">
        <v>35</v>
      </c>
      <c r="H45" s="7">
        <v>58.258899999999997</v>
      </c>
      <c r="I45" s="7">
        <v>5</v>
      </c>
      <c r="J45" s="7">
        <v>291.29000000000002</v>
      </c>
      <c r="K45" s="7" t="s">
        <v>62</v>
      </c>
      <c r="L45" s="7" t="s">
        <v>29</v>
      </c>
      <c r="M45" s="8">
        <v>43993.762430555558</v>
      </c>
    </row>
    <row r="46" spans="1:13" x14ac:dyDescent="0.45">
      <c r="A46" s="5" t="s">
        <v>112</v>
      </c>
      <c r="B46" s="6">
        <v>45180.259386574071</v>
      </c>
      <c r="C46" s="7">
        <v>11</v>
      </c>
      <c r="D46" s="7">
        <v>9</v>
      </c>
      <c r="E46" s="7">
        <v>2023</v>
      </c>
      <c r="F46" s="7" t="s">
        <v>39</v>
      </c>
      <c r="G46" s="7" t="s">
        <v>40</v>
      </c>
      <c r="H46" s="7">
        <v>29.791499999999999</v>
      </c>
      <c r="I46" s="7">
        <v>3</v>
      </c>
      <c r="J46" s="7">
        <v>89.37</v>
      </c>
      <c r="K46" s="7" t="s">
        <v>50</v>
      </c>
      <c r="L46" s="7" t="s">
        <v>17</v>
      </c>
      <c r="M46" s="8">
        <v>44639.844351851854</v>
      </c>
    </row>
    <row r="47" spans="1:13" x14ac:dyDescent="0.45">
      <c r="A47" s="5" t="s">
        <v>113</v>
      </c>
      <c r="B47" s="6">
        <v>44985.47556712963</v>
      </c>
      <c r="C47" s="7">
        <v>28</v>
      </c>
      <c r="D47" s="7">
        <v>2</v>
      </c>
      <c r="E47" s="7">
        <v>2023</v>
      </c>
      <c r="F47" s="7" t="s">
        <v>31</v>
      </c>
      <c r="G47" s="7" t="s">
        <v>15</v>
      </c>
      <c r="H47" s="7">
        <v>83.506699999999995</v>
      </c>
      <c r="I47" s="7">
        <v>2</v>
      </c>
      <c r="J47" s="7">
        <v>167.01</v>
      </c>
      <c r="K47" s="7" t="s">
        <v>82</v>
      </c>
      <c r="L47" s="7" t="s">
        <v>25</v>
      </c>
      <c r="M47" s="8">
        <v>44613.203692129631</v>
      </c>
    </row>
    <row r="48" spans="1:13" x14ac:dyDescent="0.45">
      <c r="A48" s="5" t="s">
        <v>114</v>
      </c>
      <c r="B48" s="6">
        <v>45183.24726851852</v>
      </c>
      <c r="C48" s="7">
        <v>14</v>
      </c>
      <c r="D48" s="7">
        <v>9</v>
      </c>
      <c r="E48" s="7">
        <v>2023</v>
      </c>
      <c r="F48" s="7" t="s">
        <v>115</v>
      </c>
      <c r="G48" s="7" t="s">
        <v>40</v>
      </c>
      <c r="H48" s="7">
        <v>88.069500000000005</v>
      </c>
      <c r="I48" s="7">
        <v>5</v>
      </c>
      <c r="J48" s="7">
        <v>440.35</v>
      </c>
      <c r="K48" s="7" t="s">
        <v>116</v>
      </c>
      <c r="L48" s="7" t="s">
        <v>17</v>
      </c>
      <c r="M48" s="8">
        <v>44311.107847222222</v>
      </c>
    </row>
    <row r="49" spans="1:13" x14ac:dyDescent="0.45">
      <c r="A49" s="5" t="s">
        <v>117</v>
      </c>
      <c r="B49" s="6">
        <v>45082.775578703702</v>
      </c>
      <c r="C49" s="7">
        <v>5</v>
      </c>
      <c r="D49" s="7">
        <v>6</v>
      </c>
      <c r="E49" s="7">
        <v>2023</v>
      </c>
      <c r="F49" s="7" t="s">
        <v>45</v>
      </c>
      <c r="G49" s="7" t="s">
        <v>15</v>
      </c>
      <c r="H49" s="7">
        <v>88.902799999999999</v>
      </c>
      <c r="I49" s="7">
        <v>3</v>
      </c>
      <c r="J49" s="7">
        <v>266.70999999999998</v>
      </c>
      <c r="K49" s="7" t="s">
        <v>118</v>
      </c>
      <c r="L49" s="7" t="s">
        <v>59</v>
      </c>
      <c r="M49" s="8">
        <v>44185.105393518519</v>
      </c>
    </row>
    <row r="50" spans="1:13" x14ac:dyDescent="0.45">
      <c r="A50" s="5" t="s">
        <v>119</v>
      </c>
      <c r="B50" s="6">
        <v>45290.46670138889</v>
      </c>
      <c r="C50" s="7">
        <v>30</v>
      </c>
      <c r="D50" s="7">
        <v>12</v>
      </c>
      <c r="E50" s="7">
        <v>2023</v>
      </c>
      <c r="F50" s="7" t="s">
        <v>109</v>
      </c>
      <c r="G50" s="7" t="s">
        <v>40</v>
      </c>
      <c r="H50" s="7">
        <v>20.389500000000002</v>
      </c>
      <c r="I50" s="7">
        <v>3</v>
      </c>
      <c r="J50" s="7">
        <v>61.17</v>
      </c>
      <c r="K50" s="7" t="s">
        <v>32</v>
      </c>
      <c r="L50" s="7" t="s">
        <v>25</v>
      </c>
      <c r="M50" s="8">
        <v>44151.934907407405</v>
      </c>
    </row>
    <row r="51" spans="1:13" x14ac:dyDescent="0.45">
      <c r="A51" s="5" t="s">
        <v>120</v>
      </c>
      <c r="B51" s="6">
        <v>45040.630162037036</v>
      </c>
      <c r="C51" s="7">
        <v>24</v>
      </c>
      <c r="D51" s="7">
        <v>4</v>
      </c>
      <c r="E51" s="7">
        <v>2023</v>
      </c>
      <c r="F51" s="7" t="s">
        <v>61</v>
      </c>
      <c r="G51" s="7" t="s">
        <v>40</v>
      </c>
      <c r="H51" s="7">
        <v>89.156599999999997</v>
      </c>
      <c r="I51" s="7">
        <v>1</v>
      </c>
      <c r="J51" s="7">
        <v>89.16</v>
      </c>
      <c r="K51" s="7" t="s">
        <v>121</v>
      </c>
      <c r="L51" s="7" t="s">
        <v>17</v>
      </c>
      <c r="M51" s="8">
        <v>44178.116805555554</v>
      </c>
    </row>
    <row r="52" spans="1:13" x14ac:dyDescent="0.45">
      <c r="A52" s="5" t="s">
        <v>122</v>
      </c>
      <c r="B52" s="6">
        <v>45227.53497685185</v>
      </c>
      <c r="C52" s="7">
        <v>28</v>
      </c>
      <c r="D52" s="7">
        <v>10</v>
      </c>
      <c r="E52" s="7">
        <v>2023</v>
      </c>
      <c r="F52" s="7" t="s">
        <v>14</v>
      </c>
      <c r="G52" s="7" t="s">
        <v>15</v>
      </c>
      <c r="H52" s="7">
        <v>84.044300000000007</v>
      </c>
      <c r="I52" s="7">
        <v>4</v>
      </c>
      <c r="J52" s="7">
        <v>336.18</v>
      </c>
      <c r="K52" s="7" t="s">
        <v>80</v>
      </c>
      <c r="L52" s="7" t="s">
        <v>25</v>
      </c>
      <c r="M52" s="8">
        <v>44292.761377314811</v>
      </c>
    </row>
    <row r="53" spans="1:13" x14ac:dyDescent="0.45">
      <c r="A53" s="5" t="s">
        <v>123</v>
      </c>
      <c r="B53" s="6">
        <v>45226.646423611113</v>
      </c>
      <c r="C53" s="7">
        <v>27</v>
      </c>
      <c r="D53" s="7">
        <v>10</v>
      </c>
      <c r="E53" s="7">
        <v>2023</v>
      </c>
      <c r="F53" s="7" t="s">
        <v>124</v>
      </c>
      <c r="G53" s="7" t="s">
        <v>15</v>
      </c>
      <c r="H53" s="7">
        <v>71.685000000000002</v>
      </c>
      <c r="I53" s="7">
        <v>1</v>
      </c>
      <c r="J53" s="7">
        <v>71.680000000000007</v>
      </c>
      <c r="K53" s="7" t="s">
        <v>102</v>
      </c>
      <c r="L53" s="7" t="s">
        <v>17</v>
      </c>
      <c r="M53" s="8">
        <v>43844.110219907408</v>
      </c>
    </row>
    <row r="54" spans="1:13" x14ac:dyDescent="0.45">
      <c r="A54" s="5" t="s">
        <v>125</v>
      </c>
      <c r="B54" s="6">
        <v>45058.634942129633</v>
      </c>
      <c r="C54" s="7">
        <v>12</v>
      </c>
      <c r="D54" s="7">
        <v>5</v>
      </c>
      <c r="E54" s="7">
        <v>2023</v>
      </c>
      <c r="F54" s="7" t="s">
        <v>115</v>
      </c>
      <c r="G54" s="7" t="s">
        <v>40</v>
      </c>
      <c r="H54" s="7">
        <v>88.069500000000005</v>
      </c>
      <c r="I54" s="7">
        <v>5</v>
      </c>
      <c r="J54" s="7">
        <v>440.35</v>
      </c>
      <c r="K54" s="7" t="s">
        <v>16</v>
      </c>
      <c r="L54" s="7" t="s">
        <v>17</v>
      </c>
      <c r="M54" s="8">
        <v>44579.727384259262</v>
      </c>
    </row>
    <row r="55" spans="1:13" x14ac:dyDescent="0.45">
      <c r="A55" s="5" t="s">
        <v>126</v>
      </c>
      <c r="B55" s="6">
        <v>45147.096099537041</v>
      </c>
      <c r="C55" s="7">
        <v>9</v>
      </c>
      <c r="D55" s="7">
        <v>8</v>
      </c>
      <c r="E55" s="7">
        <v>2023</v>
      </c>
      <c r="F55" s="7" t="s">
        <v>23</v>
      </c>
      <c r="G55" s="7" t="s">
        <v>15</v>
      </c>
      <c r="H55" s="7">
        <v>79.285700000000006</v>
      </c>
      <c r="I55" s="7">
        <v>2</v>
      </c>
      <c r="J55" s="7">
        <v>158.57</v>
      </c>
      <c r="K55" s="7" t="s">
        <v>104</v>
      </c>
      <c r="L55" s="7" t="s">
        <v>25</v>
      </c>
      <c r="M55" s="8">
        <v>44645.906111111108</v>
      </c>
    </row>
    <row r="56" spans="1:13" x14ac:dyDescent="0.45">
      <c r="A56" s="5" t="s">
        <v>127</v>
      </c>
      <c r="B56" s="6">
        <v>45219.066284722219</v>
      </c>
      <c r="C56" s="7">
        <v>20</v>
      </c>
      <c r="D56" s="7">
        <v>10</v>
      </c>
      <c r="E56" s="7">
        <v>2023</v>
      </c>
      <c r="F56" s="7" t="s">
        <v>109</v>
      </c>
      <c r="G56" s="7" t="s">
        <v>40</v>
      </c>
      <c r="H56" s="7">
        <v>20.389500000000002</v>
      </c>
      <c r="I56" s="7">
        <v>1</v>
      </c>
      <c r="J56" s="7">
        <v>20.39</v>
      </c>
      <c r="K56" s="7" t="s">
        <v>80</v>
      </c>
      <c r="L56" s="7" t="s">
        <v>25</v>
      </c>
      <c r="M56" s="8">
        <v>44292.761377314811</v>
      </c>
    </row>
    <row r="57" spans="1:13" x14ac:dyDescent="0.45">
      <c r="A57" s="5" t="s">
        <v>128</v>
      </c>
      <c r="B57" s="6">
        <v>45240.0780787037</v>
      </c>
      <c r="C57" s="7">
        <v>10</v>
      </c>
      <c r="D57" s="7">
        <v>11</v>
      </c>
      <c r="E57" s="7">
        <v>2023</v>
      </c>
      <c r="F57" s="7" t="s">
        <v>39</v>
      </c>
      <c r="G57" s="7" t="s">
        <v>40</v>
      </c>
      <c r="H57" s="7">
        <v>29.791499999999999</v>
      </c>
      <c r="I57" s="7">
        <v>3</v>
      </c>
      <c r="J57" s="7">
        <v>89.37</v>
      </c>
      <c r="K57" s="7" t="s">
        <v>106</v>
      </c>
      <c r="L57" s="7" t="s">
        <v>59</v>
      </c>
      <c r="M57" s="8">
        <v>44665.264999999999</v>
      </c>
    </row>
    <row r="58" spans="1:13" x14ac:dyDescent="0.45">
      <c r="A58" s="5" t="s">
        <v>129</v>
      </c>
      <c r="B58" s="6">
        <v>45256.626527777778</v>
      </c>
      <c r="C58" s="7">
        <v>26</v>
      </c>
      <c r="D58" s="7">
        <v>11</v>
      </c>
      <c r="E58" s="7">
        <v>2023</v>
      </c>
      <c r="F58" s="7" t="s">
        <v>27</v>
      </c>
      <c r="G58" s="7" t="s">
        <v>20</v>
      </c>
      <c r="H58" s="7">
        <v>62.581000000000003</v>
      </c>
      <c r="I58" s="7">
        <v>4</v>
      </c>
      <c r="J58" s="7">
        <v>250.32</v>
      </c>
      <c r="K58" s="7" t="s">
        <v>93</v>
      </c>
      <c r="L58" s="7" t="s">
        <v>59</v>
      </c>
      <c r="M58" s="8">
        <v>44705.858611111114</v>
      </c>
    </row>
    <row r="59" spans="1:13" x14ac:dyDescent="0.45">
      <c r="A59" s="5" t="s">
        <v>130</v>
      </c>
      <c r="B59" s="6">
        <v>45137.505914351852</v>
      </c>
      <c r="C59" s="7">
        <v>30</v>
      </c>
      <c r="D59" s="7">
        <v>7</v>
      </c>
      <c r="E59" s="7">
        <v>2023</v>
      </c>
      <c r="F59" s="7" t="s">
        <v>23</v>
      </c>
      <c r="G59" s="7" t="s">
        <v>15</v>
      </c>
      <c r="H59" s="7">
        <v>79.285700000000006</v>
      </c>
      <c r="I59" s="7">
        <v>3</v>
      </c>
      <c r="J59" s="7">
        <v>237.86</v>
      </c>
      <c r="K59" s="7" t="s">
        <v>43</v>
      </c>
      <c r="L59" s="7" t="s">
        <v>25</v>
      </c>
      <c r="M59" s="8">
        <v>44734.665335648147</v>
      </c>
    </row>
    <row r="60" spans="1:13" x14ac:dyDescent="0.45">
      <c r="A60" s="5" t="s">
        <v>131</v>
      </c>
      <c r="B60" s="6">
        <v>45121.106921296298</v>
      </c>
      <c r="C60" s="7">
        <v>14</v>
      </c>
      <c r="D60" s="7">
        <v>7</v>
      </c>
      <c r="E60" s="7">
        <v>2023</v>
      </c>
      <c r="F60" s="7" t="s">
        <v>79</v>
      </c>
      <c r="G60" s="7" t="s">
        <v>40</v>
      </c>
      <c r="H60" s="7">
        <v>53.051900000000003</v>
      </c>
      <c r="I60" s="7">
        <v>5</v>
      </c>
      <c r="J60" s="7">
        <v>265.26</v>
      </c>
      <c r="K60" s="7" t="s">
        <v>132</v>
      </c>
      <c r="L60" s="7" t="s">
        <v>59</v>
      </c>
      <c r="M60" s="8">
        <v>44186.583958333336</v>
      </c>
    </row>
    <row r="61" spans="1:13" x14ac:dyDescent="0.45">
      <c r="A61" s="5" t="s">
        <v>133</v>
      </c>
      <c r="B61" s="6">
        <v>44930.082361111112</v>
      </c>
      <c r="C61" s="7">
        <v>4</v>
      </c>
      <c r="D61" s="7">
        <v>1</v>
      </c>
      <c r="E61" s="7">
        <v>2023</v>
      </c>
      <c r="F61" s="7" t="s">
        <v>14</v>
      </c>
      <c r="G61" s="7" t="s">
        <v>15</v>
      </c>
      <c r="H61" s="7">
        <v>84.044300000000007</v>
      </c>
      <c r="I61" s="7">
        <v>5</v>
      </c>
      <c r="J61" s="7">
        <v>420.22</v>
      </c>
      <c r="K61" s="7" t="s">
        <v>99</v>
      </c>
      <c r="L61" s="7" t="s">
        <v>29</v>
      </c>
      <c r="M61" s="8">
        <v>44910.035833333335</v>
      </c>
    </row>
    <row r="62" spans="1:13" x14ac:dyDescent="0.45">
      <c r="A62" s="5" t="s">
        <v>134</v>
      </c>
      <c r="B62" s="6">
        <v>44997.374432870369</v>
      </c>
      <c r="C62" s="7">
        <v>12</v>
      </c>
      <c r="D62" s="7">
        <v>3</v>
      </c>
      <c r="E62" s="7">
        <v>2023</v>
      </c>
      <c r="F62" s="7" t="s">
        <v>84</v>
      </c>
      <c r="G62" s="7" t="s">
        <v>40</v>
      </c>
      <c r="H62" s="7">
        <v>51.751600000000003</v>
      </c>
      <c r="I62" s="7">
        <v>3</v>
      </c>
      <c r="J62" s="7">
        <v>155.25</v>
      </c>
      <c r="K62" s="7" t="s">
        <v>135</v>
      </c>
      <c r="L62" s="7" t="s">
        <v>59</v>
      </c>
      <c r="M62" s="8">
        <v>44811.542453703703</v>
      </c>
    </row>
    <row r="63" spans="1:13" x14ac:dyDescent="0.45">
      <c r="A63" s="5" t="s">
        <v>136</v>
      </c>
      <c r="B63" s="6">
        <v>45025.894270833334</v>
      </c>
      <c r="C63" s="7">
        <v>9</v>
      </c>
      <c r="D63" s="7">
        <v>4</v>
      </c>
      <c r="E63" s="7">
        <v>2023</v>
      </c>
      <c r="F63" s="7" t="s">
        <v>31</v>
      </c>
      <c r="G63" s="7" t="s">
        <v>15</v>
      </c>
      <c r="H63" s="7">
        <v>83.506699999999995</v>
      </c>
      <c r="I63" s="7">
        <v>1</v>
      </c>
      <c r="J63" s="7">
        <v>83.51</v>
      </c>
      <c r="K63" s="7" t="s">
        <v>58</v>
      </c>
      <c r="L63" s="7" t="s">
        <v>59</v>
      </c>
      <c r="M63" s="8">
        <v>44522.377581018518</v>
      </c>
    </row>
    <row r="64" spans="1:13" x14ac:dyDescent="0.45">
      <c r="A64" s="5" t="s">
        <v>137</v>
      </c>
      <c r="B64" s="6">
        <v>45019.118587962963</v>
      </c>
      <c r="C64" s="7">
        <v>3</v>
      </c>
      <c r="D64" s="7">
        <v>4</v>
      </c>
      <c r="E64" s="7">
        <v>2023</v>
      </c>
      <c r="F64" s="7" t="s">
        <v>109</v>
      </c>
      <c r="G64" s="7" t="s">
        <v>40</v>
      </c>
      <c r="H64" s="7">
        <v>20.389500000000002</v>
      </c>
      <c r="I64" s="7">
        <v>2</v>
      </c>
      <c r="J64" s="7">
        <v>40.78</v>
      </c>
      <c r="K64" s="7" t="s">
        <v>138</v>
      </c>
      <c r="L64" s="7" t="s">
        <v>17</v>
      </c>
      <c r="M64" s="8">
        <v>44625.141875000001</v>
      </c>
    </row>
    <row r="65" spans="1:13" x14ac:dyDescent="0.45">
      <c r="A65" s="5" t="s">
        <v>139</v>
      </c>
      <c r="B65" s="6">
        <v>45236.100428240738</v>
      </c>
      <c r="C65" s="7">
        <v>6</v>
      </c>
      <c r="D65" s="7">
        <v>11</v>
      </c>
      <c r="E65" s="7">
        <v>2023</v>
      </c>
      <c r="F65" s="7" t="s">
        <v>115</v>
      </c>
      <c r="G65" s="7" t="s">
        <v>40</v>
      </c>
      <c r="H65" s="7">
        <v>88.069500000000005</v>
      </c>
      <c r="I65" s="7">
        <v>5</v>
      </c>
      <c r="J65" s="7">
        <v>440.35</v>
      </c>
      <c r="K65" s="7" t="s">
        <v>66</v>
      </c>
      <c r="L65" s="7" t="s">
        <v>17</v>
      </c>
      <c r="M65" s="8">
        <v>44361.972187500003</v>
      </c>
    </row>
    <row r="66" spans="1:13" x14ac:dyDescent="0.45">
      <c r="A66" s="5" t="s">
        <v>140</v>
      </c>
      <c r="B66" s="6">
        <v>45178.240763888891</v>
      </c>
      <c r="C66" s="7">
        <v>9</v>
      </c>
      <c r="D66" s="7">
        <v>9</v>
      </c>
      <c r="E66" s="7">
        <v>2023</v>
      </c>
      <c r="F66" s="7" t="s">
        <v>79</v>
      </c>
      <c r="G66" s="7" t="s">
        <v>40</v>
      </c>
      <c r="H66" s="7">
        <v>53.051900000000003</v>
      </c>
      <c r="I66" s="7">
        <v>3</v>
      </c>
      <c r="J66" s="7">
        <v>159.16</v>
      </c>
      <c r="K66" s="7" t="s">
        <v>72</v>
      </c>
      <c r="L66" s="7" t="s">
        <v>29</v>
      </c>
      <c r="M66" s="8">
        <v>44601.013969907406</v>
      </c>
    </row>
    <row r="67" spans="1:13" x14ac:dyDescent="0.45">
      <c r="A67" s="5" t="s">
        <v>141</v>
      </c>
      <c r="B67" s="6">
        <v>45252.144201388888</v>
      </c>
      <c r="C67" s="7">
        <v>22</v>
      </c>
      <c r="D67" s="7">
        <v>11</v>
      </c>
      <c r="E67" s="7">
        <v>2023</v>
      </c>
      <c r="F67" s="7" t="s">
        <v>14</v>
      </c>
      <c r="G67" s="7" t="s">
        <v>15</v>
      </c>
      <c r="H67" s="7">
        <v>84.044300000000007</v>
      </c>
      <c r="I67" s="7">
        <v>1</v>
      </c>
      <c r="J67" s="7">
        <v>84.04</v>
      </c>
      <c r="K67" s="7" t="s">
        <v>36</v>
      </c>
      <c r="L67" s="7" t="s">
        <v>37</v>
      </c>
      <c r="M67" s="8">
        <v>44243.703599537039</v>
      </c>
    </row>
    <row r="68" spans="1:13" x14ac:dyDescent="0.45">
      <c r="A68" s="5" t="s">
        <v>142</v>
      </c>
      <c r="B68" s="6">
        <v>45076.562916666669</v>
      </c>
      <c r="C68" s="7">
        <v>30</v>
      </c>
      <c r="D68" s="7">
        <v>5</v>
      </c>
      <c r="E68" s="7">
        <v>2023</v>
      </c>
      <c r="F68" s="7" t="s">
        <v>52</v>
      </c>
      <c r="G68" s="7" t="s">
        <v>53</v>
      </c>
      <c r="H68" s="7">
        <v>26.460100000000001</v>
      </c>
      <c r="I68" s="7">
        <v>2</v>
      </c>
      <c r="J68" s="7">
        <v>52.92</v>
      </c>
      <c r="K68" s="7" t="s">
        <v>143</v>
      </c>
      <c r="L68" s="7" t="s">
        <v>17</v>
      </c>
      <c r="M68" s="8">
        <v>44483.679479166669</v>
      </c>
    </row>
    <row r="69" spans="1:13" x14ac:dyDescent="0.45">
      <c r="A69" s="5" t="s">
        <v>144</v>
      </c>
      <c r="B69" s="6">
        <v>44943.143171296295</v>
      </c>
      <c r="C69" s="7">
        <v>17</v>
      </c>
      <c r="D69" s="7">
        <v>1</v>
      </c>
      <c r="E69" s="7">
        <v>2023</v>
      </c>
      <c r="F69" s="7" t="s">
        <v>92</v>
      </c>
      <c r="G69" s="7" t="s">
        <v>53</v>
      </c>
      <c r="H69" s="7">
        <v>66.628200000000007</v>
      </c>
      <c r="I69" s="7">
        <v>5</v>
      </c>
      <c r="J69" s="7">
        <v>333.14</v>
      </c>
      <c r="K69" s="7" t="s">
        <v>68</v>
      </c>
      <c r="L69" s="7" t="s">
        <v>37</v>
      </c>
      <c r="M69" s="8">
        <v>44828.180694444447</v>
      </c>
    </row>
    <row r="70" spans="1:13" x14ac:dyDescent="0.45">
      <c r="A70" s="5" t="s">
        <v>145</v>
      </c>
      <c r="B70" s="6">
        <v>45223.481608796297</v>
      </c>
      <c r="C70" s="7">
        <v>24</v>
      </c>
      <c r="D70" s="7">
        <v>10</v>
      </c>
      <c r="E70" s="7">
        <v>2023</v>
      </c>
      <c r="F70" s="7" t="s">
        <v>109</v>
      </c>
      <c r="G70" s="7" t="s">
        <v>40</v>
      </c>
      <c r="H70" s="7">
        <v>20.389500000000002</v>
      </c>
      <c r="I70" s="7">
        <v>4</v>
      </c>
      <c r="J70" s="7">
        <v>81.56</v>
      </c>
      <c r="K70" s="7" t="s">
        <v>54</v>
      </c>
      <c r="L70" s="7" t="s">
        <v>25</v>
      </c>
      <c r="M70" s="8">
        <v>44103.308055555557</v>
      </c>
    </row>
    <row r="71" spans="1:13" x14ac:dyDescent="0.45">
      <c r="A71" s="5" t="s">
        <v>146</v>
      </c>
      <c r="B71" s="6">
        <v>45186.275347222225</v>
      </c>
      <c r="C71" s="7">
        <v>17</v>
      </c>
      <c r="D71" s="7">
        <v>9</v>
      </c>
      <c r="E71" s="7">
        <v>2023</v>
      </c>
      <c r="F71" s="7" t="s">
        <v>23</v>
      </c>
      <c r="G71" s="7" t="s">
        <v>15</v>
      </c>
      <c r="H71" s="7">
        <v>79.285700000000006</v>
      </c>
      <c r="I71" s="7">
        <v>5</v>
      </c>
      <c r="J71" s="7">
        <v>396.43</v>
      </c>
      <c r="K71" s="7" t="s">
        <v>147</v>
      </c>
      <c r="L71" s="7" t="s">
        <v>37</v>
      </c>
      <c r="M71" s="8">
        <v>44365.372094907405</v>
      </c>
    </row>
    <row r="72" spans="1:13" x14ac:dyDescent="0.45">
      <c r="A72" s="5" t="s">
        <v>148</v>
      </c>
      <c r="B72" s="6">
        <v>45022.075150462966</v>
      </c>
      <c r="C72" s="7">
        <v>6</v>
      </c>
      <c r="D72" s="7">
        <v>4</v>
      </c>
      <c r="E72" s="7">
        <v>2023</v>
      </c>
      <c r="F72" s="7" t="s">
        <v>61</v>
      </c>
      <c r="G72" s="7" t="s">
        <v>40</v>
      </c>
      <c r="H72" s="7">
        <v>89.156599999999997</v>
      </c>
      <c r="I72" s="7">
        <v>2</v>
      </c>
      <c r="J72" s="7">
        <v>178.31</v>
      </c>
      <c r="K72" s="7" t="s">
        <v>72</v>
      </c>
      <c r="L72" s="7" t="s">
        <v>29</v>
      </c>
      <c r="M72" s="8">
        <v>44601.013969907406</v>
      </c>
    </row>
    <row r="73" spans="1:13" x14ac:dyDescent="0.45">
      <c r="A73" s="5" t="s">
        <v>149</v>
      </c>
      <c r="B73" s="6">
        <v>45231.495462962965</v>
      </c>
      <c r="C73" s="7">
        <v>1</v>
      </c>
      <c r="D73" s="7">
        <v>11</v>
      </c>
      <c r="E73" s="7">
        <v>2023</v>
      </c>
      <c r="F73" s="7" t="s">
        <v>27</v>
      </c>
      <c r="G73" s="7" t="s">
        <v>20</v>
      </c>
      <c r="H73" s="7">
        <v>62.581000000000003</v>
      </c>
      <c r="I73" s="7">
        <v>5</v>
      </c>
      <c r="J73" s="7">
        <v>312.89999999999998</v>
      </c>
      <c r="K73" s="7" t="s">
        <v>132</v>
      </c>
      <c r="L73" s="7" t="s">
        <v>59</v>
      </c>
      <c r="M73" s="8">
        <v>44186.583958333336</v>
      </c>
    </row>
    <row r="74" spans="1:13" x14ac:dyDescent="0.45">
      <c r="A74" s="5" t="s">
        <v>150</v>
      </c>
      <c r="B74" s="6">
        <v>45046.696655092594</v>
      </c>
      <c r="C74" s="7">
        <v>30</v>
      </c>
      <c r="D74" s="7">
        <v>4</v>
      </c>
      <c r="E74" s="7">
        <v>2023</v>
      </c>
      <c r="F74" s="7" t="s">
        <v>115</v>
      </c>
      <c r="G74" s="7" t="s">
        <v>40</v>
      </c>
      <c r="H74" s="7">
        <v>88.069500000000005</v>
      </c>
      <c r="I74" s="7">
        <v>5</v>
      </c>
      <c r="J74" s="7">
        <v>440.35</v>
      </c>
      <c r="K74" s="7" t="s">
        <v>68</v>
      </c>
      <c r="L74" s="7" t="s">
        <v>37</v>
      </c>
      <c r="M74" s="8">
        <v>44828.180694444447</v>
      </c>
    </row>
    <row r="75" spans="1:13" x14ac:dyDescent="0.45">
      <c r="A75" s="5" t="s">
        <v>151</v>
      </c>
      <c r="B75" s="6">
        <v>45272.805173611108</v>
      </c>
      <c r="C75" s="7">
        <v>12</v>
      </c>
      <c r="D75" s="7">
        <v>12</v>
      </c>
      <c r="E75" s="7">
        <v>2023</v>
      </c>
      <c r="F75" s="7" t="s">
        <v>49</v>
      </c>
      <c r="G75" s="7" t="s">
        <v>20</v>
      </c>
      <c r="H75" s="7">
        <v>61.2789</v>
      </c>
      <c r="I75" s="7">
        <v>5</v>
      </c>
      <c r="J75" s="7">
        <v>306.39</v>
      </c>
      <c r="K75" s="7" t="s">
        <v>36</v>
      </c>
      <c r="L75" s="7" t="s">
        <v>37</v>
      </c>
      <c r="M75" s="8">
        <v>44243.703599537039</v>
      </c>
    </row>
    <row r="76" spans="1:13" x14ac:dyDescent="0.45">
      <c r="A76" s="5" t="s">
        <v>152</v>
      </c>
      <c r="B76" s="6">
        <v>45132.159375000003</v>
      </c>
      <c r="C76" s="7">
        <v>25</v>
      </c>
      <c r="D76" s="7">
        <v>7</v>
      </c>
      <c r="E76" s="7">
        <v>2023</v>
      </c>
      <c r="F76" s="7" t="s">
        <v>75</v>
      </c>
      <c r="G76" s="7" t="s">
        <v>20</v>
      </c>
      <c r="H76" s="7">
        <v>72.222800000000007</v>
      </c>
      <c r="I76" s="7">
        <v>4</v>
      </c>
      <c r="J76" s="7">
        <v>288.89</v>
      </c>
      <c r="K76" s="7" t="s">
        <v>82</v>
      </c>
      <c r="L76" s="7" t="s">
        <v>25</v>
      </c>
      <c r="M76" s="8">
        <v>44613.203692129631</v>
      </c>
    </row>
    <row r="77" spans="1:13" x14ac:dyDescent="0.45">
      <c r="A77" s="5" t="s">
        <v>153</v>
      </c>
      <c r="B77" s="6">
        <v>45241.331192129626</v>
      </c>
      <c r="C77" s="7">
        <v>11</v>
      </c>
      <c r="D77" s="7">
        <v>11</v>
      </c>
      <c r="E77" s="7">
        <v>2023</v>
      </c>
      <c r="F77" s="7" t="s">
        <v>14</v>
      </c>
      <c r="G77" s="7" t="s">
        <v>15</v>
      </c>
      <c r="H77" s="7">
        <v>84.044300000000007</v>
      </c>
      <c r="I77" s="7">
        <v>4</v>
      </c>
      <c r="J77" s="7">
        <v>336.18</v>
      </c>
      <c r="K77" s="7" t="s">
        <v>154</v>
      </c>
      <c r="L77" s="7" t="s">
        <v>29</v>
      </c>
      <c r="M77" s="8">
        <v>43975.374016203707</v>
      </c>
    </row>
    <row r="78" spans="1:13" x14ac:dyDescent="0.45">
      <c r="A78" s="5" t="s">
        <v>155</v>
      </c>
      <c r="B78" s="6">
        <v>45123.417187500003</v>
      </c>
      <c r="C78" s="7">
        <v>16</v>
      </c>
      <c r="D78" s="7">
        <v>7</v>
      </c>
      <c r="E78" s="7">
        <v>2023</v>
      </c>
      <c r="F78" s="7" t="s">
        <v>34</v>
      </c>
      <c r="G78" s="7" t="s">
        <v>35</v>
      </c>
      <c r="H78" s="7">
        <v>58.258899999999997</v>
      </c>
      <c r="I78" s="7">
        <v>5</v>
      </c>
      <c r="J78" s="7">
        <v>291.29000000000002</v>
      </c>
      <c r="K78" s="7" t="s">
        <v>66</v>
      </c>
      <c r="L78" s="7" t="s">
        <v>17</v>
      </c>
      <c r="M78" s="8">
        <v>44361.972187500003</v>
      </c>
    </row>
    <row r="79" spans="1:13" x14ac:dyDescent="0.45">
      <c r="A79" s="5" t="s">
        <v>156</v>
      </c>
      <c r="B79" s="6">
        <v>45216.05133101852</v>
      </c>
      <c r="C79" s="7">
        <v>17</v>
      </c>
      <c r="D79" s="7">
        <v>10</v>
      </c>
      <c r="E79" s="7">
        <v>2023</v>
      </c>
      <c r="F79" s="7" t="s">
        <v>27</v>
      </c>
      <c r="G79" s="7" t="s">
        <v>20</v>
      </c>
      <c r="H79" s="7">
        <v>62.581000000000003</v>
      </c>
      <c r="I79" s="7">
        <v>3</v>
      </c>
      <c r="J79" s="7">
        <v>187.74</v>
      </c>
      <c r="K79" s="7" t="s">
        <v>68</v>
      </c>
      <c r="L79" s="7" t="s">
        <v>37</v>
      </c>
      <c r="M79" s="8">
        <v>44828.180694444447</v>
      </c>
    </row>
    <row r="80" spans="1:13" x14ac:dyDescent="0.45">
      <c r="A80" s="5" t="s">
        <v>157</v>
      </c>
      <c r="B80" s="6">
        <v>44927.665960648148</v>
      </c>
      <c r="C80" s="7">
        <v>1</v>
      </c>
      <c r="D80" s="7">
        <v>1</v>
      </c>
      <c r="E80" s="7">
        <v>2023</v>
      </c>
      <c r="F80" s="7" t="s">
        <v>45</v>
      </c>
      <c r="G80" s="7" t="s">
        <v>15</v>
      </c>
      <c r="H80" s="7">
        <v>88.902799999999999</v>
      </c>
      <c r="I80" s="7">
        <v>5</v>
      </c>
      <c r="J80" s="7">
        <v>444.51</v>
      </c>
      <c r="K80" s="7" t="s">
        <v>28</v>
      </c>
      <c r="L80" s="7" t="s">
        <v>29</v>
      </c>
      <c r="M80" s="8">
        <v>44153.826018518521</v>
      </c>
    </row>
    <row r="81" spans="1:13" x14ac:dyDescent="0.45">
      <c r="A81" s="5" t="s">
        <v>158</v>
      </c>
      <c r="B81" s="6">
        <v>45047.056944444441</v>
      </c>
      <c r="C81" s="7">
        <v>1</v>
      </c>
      <c r="D81" s="7">
        <v>5</v>
      </c>
      <c r="E81" s="7">
        <v>2023</v>
      </c>
      <c r="F81" s="7" t="s">
        <v>52</v>
      </c>
      <c r="G81" s="7" t="s">
        <v>53</v>
      </c>
      <c r="H81" s="7">
        <v>26.460100000000001</v>
      </c>
      <c r="I81" s="7">
        <v>1</v>
      </c>
      <c r="J81" s="7">
        <v>26.46</v>
      </c>
      <c r="K81" s="7" t="s">
        <v>87</v>
      </c>
      <c r="L81" s="7" t="s">
        <v>59</v>
      </c>
      <c r="M81" s="8">
        <v>44129.135393518518</v>
      </c>
    </row>
    <row r="82" spans="1:13" x14ac:dyDescent="0.45">
      <c r="A82" s="5" t="s">
        <v>159</v>
      </c>
      <c r="B82" s="6">
        <v>45174.661840277775</v>
      </c>
      <c r="C82" s="7">
        <v>5</v>
      </c>
      <c r="D82" s="7">
        <v>9</v>
      </c>
      <c r="E82" s="7">
        <v>2023</v>
      </c>
      <c r="F82" s="7" t="s">
        <v>45</v>
      </c>
      <c r="G82" s="7" t="s">
        <v>15</v>
      </c>
      <c r="H82" s="7">
        <v>88.902799999999999</v>
      </c>
      <c r="I82" s="7">
        <v>1</v>
      </c>
      <c r="J82" s="7">
        <v>88.9</v>
      </c>
      <c r="K82" s="7" t="s">
        <v>160</v>
      </c>
      <c r="L82" s="7" t="s">
        <v>17</v>
      </c>
      <c r="M82" s="8">
        <v>44030.954629629632</v>
      </c>
    </row>
    <row r="83" spans="1:13" x14ac:dyDescent="0.45">
      <c r="A83" s="5" t="s">
        <v>161</v>
      </c>
      <c r="B83" s="6">
        <v>45248.309363425928</v>
      </c>
      <c r="C83" s="7">
        <v>18</v>
      </c>
      <c r="D83" s="7">
        <v>11</v>
      </c>
      <c r="E83" s="7">
        <v>2023</v>
      </c>
      <c r="F83" s="7" t="s">
        <v>64</v>
      </c>
      <c r="G83" s="7" t="s">
        <v>53</v>
      </c>
      <c r="H83" s="7">
        <v>57.650599999999997</v>
      </c>
      <c r="I83" s="7">
        <v>5</v>
      </c>
      <c r="J83" s="7">
        <v>288.25</v>
      </c>
      <c r="K83" s="7" t="s">
        <v>147</v>
      </c>
      <c r="L83" s="7" t="s">
        <v>37</v>
      </c>
      <c r="M83" s="8">
        <v>44365.372094907405</v>
      </c>
    </row>
    <row r="84" spans="1:13" x14ac:dyDescent="0.45">
      <c r="A84" s="5" t="s">
        <v>162</v>
      </c>
      <c r="B84" s="6">
        <v>45191.08625</v>
      </c>
      <c r="C84" s="7">
        <v>22</v>
      </c>
      <c r="D84" s="7">
        <v>9</v>
      </c>
      <c r="E84" s="7">
        <v>2023</v>
      </c>
      <c r="F84" s="7" t="s">
        <v>34</v>
      </c>
      <c r="G84" s="7" t="s">
        <v>35</v>
      </c>
      <c r="H84" s="7">
        <v>58.258899999999997</v>
      </c>
      <c r="I84" s="7">
        <v>3</v>
      </c>
      <c r="J84" s="7">
        <v>174.78</v>
      </c>
      <c r="K84" s="7" t="s">
        <v>36</v>
      </c>
      <c r="L84" s="7" t="s">
        <v>37</v>
      </c>
      <c r="M84" s="8">
        <v>44243.703599537039</v>
      </c>
    </row>
    <row r="85" spans="1:13" x14ac:dyDescent="0.45">
      <c r="A85" s="5" t="s">
        <v>163</v>
      </c>
      <c r="B85" s="6">
        <v>45158.472777777781</v>
      </c>
      <c r="C85" s="7">
        <v>20</v>
      </c>
      <c r="D85" s="7">
        <v>8</v>
      </c>
      <c r="E85" s="7">
        <v>2023</v>
      </c>
      <c r="F85" s="7" t="s">
        <v>27</v>
      </c>
      <c r="G85" s="7" t="s">
        <v>20</v>
      </c>
      <c r="H85" s="7">
        <v>62.581000000000003</v>
      </c>
      <c r="I85" s="7">
        <v>3</v>
      </c>
      <c r="J85" s="7">
        <v>187.74</v>
      </c>
      <c r="K85" s="7" t="s">
        <v>118</v>
      </c>
      <c r="L85" s="7" t="s">
        <v>59</v>
      </c>
      <c r="M85" s="8">
        <v>44185.105393518519</v>
      </c>
    </row>
    <row r="86" spans="1:13" x14ac:dyDescent="0.45">
      <c r="A86" s="5" t="s">
        <v>164</v>
      </c>
      <c r="B86" s="6">
        <v>45053.077337962961</v>
      </c>
      <c r="C86" s="7">
        <v>7</v>
      </c>
      <c r="D86" s="7">
        <v>5</v>
      </c>
      <c r="E86" s="7">
        <v>2023</v>
      </c>
      <c r="F86" s="7" t="s">
        <v>31</v>
      </c>
      <c r="G86" s="7" t="s">
        <v>15</v>
      </c>
      <c r="H86" s="7">
        <v>83.506699999999995</v>
      </c>
      <c r="I86" s="7">
        <v>5</v>
      </c>
      <c r="J86" s="7">
        <v>417.53</v>
      </c>
      <c r="K86" s="7" t="s">
        <v>165</v>
      </c>
      <c r="L86" s="7" t="s">
        <v>25</v>
      </c>
      <c r="M86" s="8">
        <v>44343.764050925929</v>
      </c>
    </row>
    <row r="87" spans="1:13" x14ac:dyDescent="0.45">
      <c r="A87" s="5" t="s">
        <v>166</v>
      </c>
      <c r="B87" s="6">
        <v>45197.710335648146</v>
      </c>
      <c r="C87" s="7">
        <v>28</v>
      </c>
      <c r="D87" s="7">
        <v>9</v>
      </c>
      <c r="E87" s="7">
        <v>2023</v>
      </c>
      <c r="F87" s="7" t="s">
        <v>39</v>
      </c>
      <c r="G87" s="7" t="s">
        <v>40</v>
      </c>
      <c r="H87" s="7">
        <v>29.791499999999999</v>
      </c>
      <c r="I87" s="7">
        <v>4</v>
      </c>
      <c r="J87" s="7">
        <v>119.17</v>
      </c>
      <c r="K87" s="7" t="s">
        <v>167</v>
      </c>
      <c r="L87" s="7" t="s">
        <v>37</v>
      </c>
      <c r="M87" s="8">
        <v>44783.255474537036</v>
      </c>
    </row>
    <row r="88" spans="1:13" x14ac:dyDescent="0.45">
      <c r="A88" s="5" t="s">
        <v>168</v>
      </c>
      <c r="B88" s="6">
        <v>45113.316087962965</v>
      </c>
      <c r="C88" s="7">
        <v>6</v>
      </c>
      <c r="D88" s="7">
        <v>7</v>
      </c>
      <c r="E88" s="7">
        <v>2023</v>
      </c>
      <c r="F88" s="7" t="s">
        <v>79</v>
      </c>
      <c r="G88" s="7" t="s">
        <v>40</v>
      </c>
      <c r="H88" s="7">
        <v>53.051900000000003</v>
      </c>
      <c r="I88" s="7">
        <v>2</v>
      </c>
      <c r="J88" s="7">
        <v>106.1</v>
      </c>
      <c r="K88" s="7" t="s">
        <v>80</v>
      </c>
      <c r="L88" s="7" t="s">
        <v>25</v>
      </c>
      <c r="M88" s="8">
        <v>44292.761377314811</v>
      </c>
    </row>
    <row r="89" spans="1:13" x14ac:dyDescent="0.45">
      <c r="A89" s="5" t="s">
        <v>169</v>
      </c>
      <c r="B89" s="6">
        <v>44965.230902777781</v>
      </c>
      <c r="C89" s="7">
        <v>8</v>
      </c>
      <c r="D89" s="7">
        <v>2</v>
      </c>
      <c r="E89" s="7">
        <v>2023</v>
      </c>
      <c r="F89" s="7" t="s">
        <v>49</v>
      </c>
      <c r="G89" s="7" t="s">
        <v>20</v>
      </c>
      <c r="H89" s="7">
        <v>61.2789</v>
      </c>
      <c r="I89" s="7">
        <v>1</v>
      </c>
      <c r="J89" s="7">
        <v>61.28</v>
      </c>
      <c r="K89" s="7" t="s">
        <v>170</v>
      </c>
      <c r="L89" s="7" t="s">
        <v>17</v>
      </c>
      <c r="M89" s="8">
        <v>44430.182245370372</v>
      </c>
    </row>
    <row r="90" spans="1:13" x14ac:dyDescent="0.45">
      <c r="A90" s="5" t="s">
        <v>171</v>
      </c>
      <c r="B90" s="6">
        <v>45161.549884259257</v>
      </c>
      <c r="C90" s="7">
        <v>23</v>
      </c>
      <c r="D90" s="7">
        <v>8</v>
      </c>
      <c r="E90" s="7">
        <v>2023</v>
      </c>
      <c r="F90" s="7" t="s">
        <v>61</v>
      </c>
      <c r="G90" s="7" t="s">
        <v>40</v>
      </c>
      <c r="H90" s="7">
        <v>89.156599999999997</v>
      </c>
      <c r="I90" s="7">
        <v>3</v>
      </c>
      <c r="J90" s="7">
        <v>267.47000000000003</v>
      </c>
      <c r="K90" s="7" t="s">
        <v>96</v>
      </c>
      <c r="L90" s="7" t="s">
        <v>17</v>
      </c>
      <c r="M90" s="8">
        <v>44426.505219907405</v>
      </c>
    </row>
    <row r="91" spans="1:13" x14ac:dyDescent="0.45">
      <c r="A91" s="5" t="s">
        <v>172</v>
      </c>
      <c r="B91" s="6">
        <v>45210.309421296297</v>
      </c>
      <c r="C91" s="7">
        <v>11</v>
      </c>
      <c r="D91" s="7">
        <v>10</v>
      </c>
      <c r="E91" s="7">
        <v>2023</v>
      </c>
      <c r="F91" s="7" t="s">
        <v>79</v>
      </c>
      <c r="G91" s="7" t="s">
        <v>40</v>
      </c>
      <c r="H91" s="7">
        <v>53.051900000000003</v>
      </c>
      <c r="I91" s="7">
        <v>5</v>
      </c>
      <c r="J91" s="7">
        <v>265.26</v>
      </c>
      <c r="K91" s="7" t="s">
        <v>99</v>
      </c>
      <c r="L91" s="7" t="s">
        <v>29</v>
      </c>
      <c r="M91" s="8">
        <v>44910.035833333335</v>
      </c>
    </row>
    <row r="92" spans="1:13" x14ac:dyDescent="0.45">
      <c r="A92" s="5" t="s">
        <v>173</v>
      </c>
      <c r="B92" s="6">
        <v>45232.132974537039</v>
      </c>
      <c r="C92" s="7">
        <v>2</v>
      </c>
      <c r="D92" s="7">
        <v>11</v>
      </c>
      <c r="E92" s="7">
        <v>2023</v>
      </c>
      <c r="F92" s="7" t="s">
        <v>109</v>
      </c>
      <c r="G92" s="7" t="s">
        <v>40</v>
      </c>
      <c r="H92" s="7">
        <v>20.389500000000002</v>
      </c>
      <c r="I92" s="7">
        <v>5</v>
      </c>
      <c r="J92" s="7">
        <v>101.95</v>
      </c>
      <c r="K92" s="7" t="s">
        <v>24</v>
      </c>
      <c r="L92" s="7" t="s">
        <v>25</v>
      </c>
      <c r="M92" s="8">
        <v>44359.101203703707</v>
      </c>
    </row>
    <row r="93" spans="1:13" x14ac:dyDescent="0.45">
      <c r="A93" s="5" t="s">
        <v>174</v>
      </c>
      <c r="B93" s="6">
        <v>45140.090300925927</v>
      </c>
      <c r="C93" s="7">
        <v>2</v>
      </c>
      <c r="D93" s="7">
        <v>8</v>
      </c>
      <c r="E93" s="7">
        <v>2023</v>
      </c>
      <c r="F93" s="7" t="s">
        <v>45</v>
      </c>
      <c r="G93" s="7" t="s">
        <v>15</v>
      </c>
      <c r="H93" s="7">
        <v>88.902799999999999</v>
      </c>
      <c r="I93" s="7">
        <v>4</v>
      </c>
      <c r="J93" s="7">
        <v>355.61</v>
      </c>
      <c r="K93" s="7" t="s">
        <v>175</v>
      </c>
      <c r="L93" s="7" t="s">
        <v>25</v>
      </c>
      <c r="M93" s="8">
        <v>44044.83021990741</v>
      </c>
    </row>
    <row r="94" spans="1:13" x14ac:dyDescent="0.45">
      <c r="A94" s="5" t="s">
        <v>176</v>
      </c>
      <c r="B94" s="6">
        <v>44990.509918981479</v>
      </c>
      <c r="C94" s="7">
        <v>5</v>
      </c>
      <c r="D94" s="7">
        <v>3</v>
      </c>
      <c r="E94" s="7">
        <v>2023</v>
      </c>
      <c r="F94" s="7" t="s">
        <v>27</v>
      </c>
      <c r="G94" s="7" t="s">
        <v>20</v>
      </c>
      <c r="H94" s="7">
        <v>62.581000000000003</v>
      </c>
      <c r="I94" s="7">
        <v>1</v>
      </c>
      <c r="J94" s="7">
        <v>62.58</v>
      </c>
      <c r="K94" s="7" t="s">
        <v>76</v>
      </c>
      <c r="L94" s="7" t="s">
        <v>25</v>
      </c>
      <c r="M94" s="8">
        <v>44447.27380787037</v>
      </c>
    </row>
    <row r="95" spans="1:13" x14ac:dyDescent="0.45">
      <c r="A95" s="5" t="s">
        <v>177</v>
      </c>
      <c r="B95" s="6">
        <v>45001.506898148145</v>
      </c>
      <c r="C95" s="7">
        <v>16</v>
      </c>
      <c r="D95" s="7">
        <v>3</v>
      </c>
      <c r="E95" s="7">
        <v>2023</v>
      </c>
      <c r="F95" s="7" t="s">
        <v>84</v>
      </c>
      <c r="G95" s="7" t="s">
        <v>40</v>
      </c>
      <c r="H95" s="7">
        <v>51.751600000000003</v>
      </c>
      <c r="I95" s="7">
        <v>3</v>
      </c>
      <c r="J95" s="7">
        <v>155.25</v>
      </c>
      <c r="K95" s="7" t="s">
        <v>47</v>
      </c>
      <c r="L95" s="7" t="s">
        <v>29</v>
      </c>
      <c r="M95" s="8">
        <v>44547.625092592592</v>
      </c>
    </row>
    <row r="96" spans="1:13" x14ac:dyDescent="0.45">
      <c r="A96" s="5" t="s">
        <v>178</v>
      </c>
      <c r="B96" s="6">
        <v>44928.318923611114</v>
      </c>
      <c r="C96" s="7">
        <v>2</v>
      </c>
      <c r="D96" s="7">
        <v>1</v>
      </c>
      <c r="E96" s="7">
        <v>2023</v>
      </c>
      <c r="F96" s="7" t="s">
        <v>45</v>
      </c>
      <c r="G96" s="7" t="s">
        <v>15</v>
      </c>
      <c r="H96" s="7">
        <v>88.902799999999999</v>
      </c>
      <c r="I96" s="7">
        <v>5</v>
      </c>
      <c r="J96" s="7">
        <v>444.51</v>
      </c>
      <c r="K96" s="7" t="s">
        <v>36</v>
      </c>
      <c r="L96" s="7" t="s">
        <v>37</v>
      </c>
      <c r="M96" s="8">
        <v>44243.703599537039</v>
      </c>
    </row>
    <row r="97" spans="1:13" x14ac:dyDescent="0.45">
      <c r="A97" s="5" t="s">
        <v>179</v>
      </c>
      <c r="B97" s="6">
        <v>45072.758391203701</v>
      </c>
      <c r="C97" s="7">
        <v>26</v>
      </c>
      <c r="D97" s="7">
        <v>5</v>
      </c>
      <c r="E97" s="7">
        <v>2023</v>
      </c>
      <c r="F97" s="7" t="s">
        <v>49</v>
      </c>
      <c r="G97" s="7" t="s">
        <v>20</v>
      </c>
      <c r="H97" s="7">
        <v>61.2789</v>
      </c>
      <c r="I97" s="7">
        <v>1</v>
      </c>
      <c r="J97" s="7">
        <v>61.28</v>
      </c>
      <c r="K97" s="7" t="s">
        <v>102</v>
      </c>
      <c r="L97" s="7" t="s">
        <v>17</v>
      </c>
      <c r="M97" s="8">
        <v>43844.110219907408</v>
      </c>
    </row>
    <row r="98" spans="1:13" x14ac:dyDescent="0.45">
      <c r="A98" s="5" t="s">
        <v>180</v>
      </c>
      <c r="B98" s="6">
        <v>44945.248425925929</v>
      </c>
      <c r="C98" s="7">
        <v>19</v>
      </c>
      <c r="D98" s="7">
        <v>1</v>
      </c>
      <c r="E98" s="7">
        <v>2023</v>
      </c>
      <c r="F98" s="7" t="s">
        <v>124</v>
      </c>
      <c r="G98" s="7" t="s">
        <v>15</v>
      </c>
      <c r="H98" s="7">
        <v>71.685000000000002</v>
      </c>
      <c r="I98" s="7">
        <v>4</v>
      </c>
      <c r="J98" s="7">
        <v>286.74</v>
      </c>
      <c r="K98" s="7" t="s">
        <v>135</v>
      </c>
      <c r="L98" s="7" t="s">
        <v>59</v>
      </c>
      <c r="M98" s="8">
        <v>44811.542453703703</v>
      </c>
    </row>
    <row r="99" spans="1:13" x14ac:dyDescent="0.45">
      <c r="A99" s="5" t="s">
        <v>181</v>
      </c>
      <c r="B99" s="6">
        <v>45154.679432870369</v>
      </c>
      <c r="C99" s="7">
        <v>16</v>
      </c>
      <c r="D99" s="7">
        <v>8</v>
      </c>
      <c r="E99" s="7">
        <v>2023</v>
      </c>
      <c r="F99" s="7" t="s">
        <v>79</v>
      </c>
      <c r="G99" s="7" t="s">
        <v>40</v>
      </c>
      <c r="H99" s="7">
        <v>53.051900000000003</v>
      </c>
      <c r="I99" s="7">
        <v>4</v>
      </c>
      <c r="J99" s="7">
        <v>212.21</v>
      </c>
      <c r="K99" s="7" t="s">
        <v>24</v>
      </c>
      <c r="L99" s="7" t="s">
        <v>25</v>
      </c>
      <c r="M99" s="8">
        <v>44359.101203703707</v>
      </c>
    </row>
    <row r="100" spans="1:13" x14ac:dyDescent="0.45">
      <c r="A100" s="5" t="s">
        <v>182</v>
      </c>
      <c r="B100" s="6">
        <v>45117.301481481481</v>
      </c>
      <c r="C100" s="7">
        <v>10</v>
      </c>
      <c r="D100" s="7">
        <v>7</v>
      </c>
      <c r="E100" s="7">
        <v>2023</v>
      </c>
      <c r="F100" s="7" t="s">
        <v>14</v>
      </c>
      <c r="G100" s="7" t="s">
        <v>15</v>
      </c>
      <c r="H100" s="7">
        <v>84.044300000000007</v>
      </c>
      <c r="I100" s="7">
        <v>2</v>
      </c>
      <c r="J100" s="7">
        <v>168.09</v>
      </c>
      <c r="K100" s="7" t="s">
        <v>104</v>
      </c>
      <c r="L100" s="7" t="s">
        <v>25</v>
      </c>
      <c r="M100" s="8">
        <v>44645.906111111108</v>
      </c>
    </row>
    <row r="101" spans="1:13" x14ac:dyDescent="0.45">
      <c r="A101" s="9" t="s">
        <v>183</v>
      </c>
      <c r="B101" s="10">
        <v>44942.159525462965</v>
      </c>
      <c r="C101" s="11">
        <v>16</v>
      </c>
      <c r="D101" s="11">
        <v>1</v>
      </c>
      <c r="E101" s="11">
        <v>2023</v>
      </c>
      <c r="F101" s="11" t="s">
        <v>75</v>
      </c>
      <c r="G101" s="11" t="s">
        <v>20</v>
      </c>
      <c r="H101" s="11">
        <v>72.222800000000007</v>
      </c>
      <c r="I101" s="11">
        <v>3</v>
      </c>
      <c r="J101" s="11">
        <v>216.67</v>
      </c>
      <c r="K101" s="11" t="s">
        <v>160</v>
      </c>
      <c r="L101" s="11" t="s">
        <v>17</v>
      </c>
      <c r="M101" s="12">
        <v>44030.954629629632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30E36-6B53-4681-B402-BAB903D8B74B}">
  <sheetPr>
    <tabColor theme="8" tint="-0.499984740745262"/>
  </sheetPr>
  <dimension ref="C2:V42"/>
  <sheetViews>
    <sheetView tabSelected="1" topLeftCell="B1" zoomScale="67" workbookViewId="0">
      <selection activeCell="N19" sqref="N19"/>
    </sheetView>
  </sheetViews>
  <sheetFormatPr defaultRowHeight="14.25" x14ac:dyDescent="0.45"/>
  <cols>
    <col min="3" max="3" width="6.1328125" style="23" customWidth="1"/>
    <col min="4" max="4" width="43.53125" style="23" customWidth="1"/>
    <col min="5" max="5" width="9.06640625" style="23"/>
    <col min="6" max="6" width="41" style="23" customWidth="1"/>
    <col min="7" max="7" width="9.06640625" style="23"/>
    <col min="8" max="8" width="39.46484375" style="23" customWidth="1"/>
    <col min="9" max="10" width="9.06640625" style="23"/>
    <col min="11" max="11" width="11.1328125" style="23" customWidth="1"/>
    <col min="12" max="12" width="5.19921875" style="23" customWidth="1"/>
    <col min="13" max="13" width="9.06640625" style="27"/>
    <col min="14" max="16" width="18.1328125" style="27" customWidth="1"/>
    <col min="17" max="19" width="9.06640625" style="27"/>
    <col min="20" max="20" width="12.06640625" style="27" customWidth="1"/>
    <col min="21" max="21" width="6.06640625" style="27" customWidth="1"/>
    <col min="22" max="22" width="9.06640625" style="27"/>
  </cols>
  <sheetData>
    <row r="2" spans="4:20" ht="7.5" customHeight="1" x14ac:dyDescent="0.45"/>
    <row r="3" spans="4:20" ht="14.25" customHeight="1" x14ac:dyDescent="0.45">
      <c r="D3" s="32" t="s">
        <v>202</v>
      </c>
      <c r="E3" s="32"/>
      <c r="F3" s="32"/>
      <c r="G3" s="32"/>
      <c r="H3" s="32"/>
      <c r="I3" s="32"/>
      <c r="J3" s="32"/>
      <c r="K3" s="32"/>
      <c r="L3" s="29"/>
      <c r="M3" s="28"/>
      <c r="N3" s="28"/>
      <c r="O3" s="28"/>
      <c r="P3" s="28"/>
      <c r="Q3" s="28"/>
      <c r="R3" s="28"/>
      <c r="S3" s="28"/>
      <c r="T3" s="28"/>
    </row>
    <row r="4" spans="4:20" ht="14.25" customHeight="1" x14ac:dyDescent="0.45">
      <c r="D4" s="32"/>
      <c r="E4" s="32"/>
      <c r="F4" s="32"/>
      <c r="G4" s="32"/>
      <c r="H4" s="32"/>
      <c r="I4" s="32"/>
      <c r="J4" s="32"/>
      <c r="K4" s="32"/>
      <c r="L4" s="29"/>
      <c r="M4" s="28"/>
      <c r="N4" s="28"/>
      <c r="O4" s="28"/>
      <c r="P4" s="28"/>
      <c r="Q4" s="28"/>
      <c r="R4" s="28"/>
      <c r="S4" s="28"/>
      <c r="T4" s="28"/>
    </row>
    <row r="5" spans="4:20" ht="14.25" customHeight="1" x14ac:dyDescent="0.45">
      <c r="D5" s="32"/>
      <c r="E5" s="32"/>
      <c r="F5" s="32"/>
      <c r="G5" s="32"/>
      <c r="H5" s="32"/>
      <c r="I5" s="32"/>
      <c r="J5" s="32"/>
      <c r="K5" s="32"/>
      <c r="L5" s="29"/>
      <c r="M5" s="28"/>
      <c r="N5" s="28"/>
      <c r="O5" s="28"/>
      <c r="P5" s="28"/>
      <c r="Q5" s="28"/>
      <c r="R5" s="28"/>
      <c r="S5" s="28"/>
      <c r="T5" s="28"/>
    </row>
    <row r="6" spans="4:20" ht="6" customHeight="1" x14ac:dyDescent="0.45"/>
    <row r="7" spans="4:20" ht="30.75" customHeight="1" x14ac:dyDescent="0.45">
      <c r="D7" s="25" t="s">
        <v>203</v>
      </c>
      <c r="F7" s="31" t="s">
        <v>204</v>
      </c>
      <c r="H7" s="31" t="s">
        <v>205</v>
      </c>
    </row>
    <row r="8" spans="4:20" ht="23.25" x14ac:dyDescent="0.45">
      <c r="D8" s="26">
        <v>22462.069999999996</v>
      </c>
      <c r="F8" s="30">
        <v>100</v>
      </c>
      <c r="H8" s="34">
        <v>340</v>
      </c>
    </row>
    <row r="24" spans="4:11" ht="42.75" customHeight="1" x14ac:dyDescent="0.45"/>
    <row r="25" spans="4:11" x14ac:dyDescent="0.45">
      <c r="D25" s="24"/>
      <c r="E25" s="24"/>
      <c r="F25" s="24"/>
      <c r="G25" s="24"/>
      <c r="H25" s="24"/>
      <c r="I25" s="24"/>
      <c r="J25" s="24"/>
      <c r="K25" s="24"/>
    </row>
    <row r="26" spans="4:11" x14ac:dyDescent="0.45">
      <c r="D26" s="24"/>
      <c r="E26" s="24"/>
      <c r="F26" s="24"/>
      <c r="G26" s="24"/>
      <c r="H26" s="24"/>
      <c r="I26" s="24"/>
      <c r="J26" s="24"/>
      <c r="K26" s="24"/>
    </row>
    <row r="27" spans="4:11" x14ac:dyDescent="0.45">
      <c r="D27" s="24"/>
      <c r="E27" s="24"/>
      <c r="F27" s="24"/>
      <c r="G27" s="24"/>
      <c r="H27" s="24"/>
      <c r="I27" s="24"/>
      <c r="J27" s="24"/>
      <c r="K27" s="24"/>
    </row>
    <row r="28" spans="4:11" x14ac:dyDescent="0.45">
      <c r="D28" s="24"/>
      <c r="E28" s="24"/>
      <c r="F28" s="24"/>
      <c r="G28" s="24"/>
      <c r="H28" s="24"/>
      <c r="I28" s="24"/>
      <c r="J28" s="24"/>
      <c r="K28" s="24"/>
    </row>
    <row r="29" spans="4:11" x14ac:dyDescent="0.45">
      <c r="D29" s="24"/>
      <c r="E29" s="24"/>
      <c r="F29" s="24"/>
      <c r="G29" s="24"/>
      <c r="H29" s="24"/>
      <c r="I29" s="24"/>
      <c r="J29" s="24"/>
      <c r="K29" s="24"/>
    </row>
    <row r="30" spans="4:11" x14ac:dyDescent="0.45">
      <c r="D30" s="24"/>
      <c r="E30" s="24"/>
      <c r="F30" s="24"/>
      <c r="G30" s="24"/>
      <c r="H30" s="24"/>
      <c r="I30" s="24"/>
      <c r="J30" s="24"/>
      <c r="K30" s="24"/>
    </row>
    <row r="31" spans="4:11" x14ac:dyDescent="0.45">
      <c r="D31" s="24"/>
      <c r="E31" s="24"/>
      <c r="F31" s="24"/>
      <c r="G31" s="24"/>
      <c r="H31" s="24"/>
      <c r="I31" s="24"/>
      <c r="J31" s="24"/>
      <c r="K31" s="24"/>
    </row>
    <row r="32" spans="4:11" x14ac:dyDescent="0.45">
      <c r="D32" s="24"/>
      <c r="E32" s="24"/>
      <c r="F32" s="24"/>
      <c r="G32" s="24"/>
      <c r="H32" s="24"/>
      <c r="I32" s="24"/>
      <c r="J32" s="24"/>
      <c r="K32" s="24"/>
    </row>
    <row r="33" spans="4:11" x14ac:dyDescent="0.45">
      <c r="D33" s="24"/>
      <c r="E33" s="24"/>
      <c r="F33" s="24"/>
      <c r="G33" s="24"/>
      <c r="H33" s="24"/>
      <c r="I33" s="24"/>
      <c r="J33" s="24"/>
      <c r="K33" s="24"/>
    </row>
    <row r="34" spans="4:11" x14ac:dyDescent="0.45">
      <c r="D34" s="24"/>
      <c r="E34" s="24"/>
      <c r="F34" s="24"/>
      <c r="G34" s="24"/>
      <c r="H34" s="24"/>
      <c r="I34" s="24"/>
      <c r="J34" s="24"/>
      <c r="K34" s="24"/>
    </row>
    <row r="35" spans="4:11" x14ac:dyDescent="0.45">
      <c r="D35" s="24"/>
      <c r="E35" s="24"/>
      <c r="F35" s="24"/>
      <c r="G35" s="24"/>
      <c r="H35" s="24"/>
      <c r="I35" s="24"/>
      <c r="J35" s="24"/>
      <c r="K35" s="24"/>
    </row>
    <row r="36" spans="4:11" x14ac:dyDescent="0.45">
      <c r="D36" s="24"/>
      <c r="E36" s="24"/>
      <c r="F36" s="24"/>
      <c r="G36" s="24"/>
      <c r="H36" s="24"/>
      <c r="I36" s="24"/>
      <c r="J36" s="24"/>
      <c r="K36" s="24"/>
    </row>
    <row r="37" spans="4:11" x14ac:dyDescent="0.45">
      <c r="D37" s="24"/>
      <c r="E37" s="24"/>
      <c r="F37" s="24"/>
      <c r="G37" s="24"/>
      <c r="H37" s="24"/>
      <c r="I37" s="24"/>
      <c r="J37" s="24"/>
      <c r="K37" s="24"/>
    </row>
    <row r="38" spans="4:11" x14ac:dyDescent="0.45">
      <c r="D38" s="24"/>
      <c r="E38" s="24"/>
      <c r="F38" s="24"/>
      <c r="G38" s="24"/>
      <c r="H38" s="24"/>
      <c r="I38" s="24"/>
      <c r="J38" s="24"/>
      <c r="K38" s="24"/>
    </row>
    <row r="39" spans="4:11" x14ac:dyDescent="0.45">
      <c r="D39" s="24"/>
      <c r="E39" s="24"/>
      <c r="F39" s="24"/>
      <c r="G39" s="24"/>
      <c r="H39" s="24"/>
      <c r="I39" s="24"/>
      <c r="J39" s="24"/>
      <c r="K39" s="24"/>
    </row>
    <row r="40" spans="4:11" x14ac:dyDescent="0.45">
      <c r="D40" s="24"/>
      <c r="E40" s="24"/>
      <c r="F40" s="24"/>
      <c r="G40" s="24"/>
      <c r="H40" s="24"/>
      <c r="I40" s="24"/>
      <c r="J40" s="24"/>
      <c r="K40" s="24"/>
    </row>
    <row r="41" spans="4:11" x14ac:dyDescent="0.45">
      <c r="D41" s="24"/>
      <c r="E41" s="24"/>
      <c r="F41" s="24"/>
      <c r="G41" s="24"/>
      <c r="H41" s="24"/>
      <c r="I41" s="24"/>
      <c r="J41" s="24"/>
      <c r="K41" s="24"/>
    </row>
    <row r="42" spans="4:11" x14ac:dyDescent="0.45">
      <c r="D42" s="24"/>
      <c r="E42" s="24"/>
      <c r="F42" s="24"/>
      <c r="G42" s="24"/>
      <c r="H42" s="24"/>
      <c r="I42" s="24"/>
      <c r="J42" s="24"/>
      <c r="K42" s="24"/>
    </row>
  </sheetData>
  <mergeCells count="1">
    <mergeCell ref="D3:K5"/>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9B855-0D4A-4552-950A-9DAD5BE5E6F8}">
  <dimension ref="A3:G4"/>
  <sheetViews>
    <sheetView workbookViewId="0">
      <selection activeCell="G3" sqref="G3:G4"/>
    </sheetView>
  </sheetViews>
  <sheetFormatPr defaultRowHeight="14.25" x14ac:dyDescent="0.45"/>
  <cols>
    <col min="1" max="1" width="16.3984375" bestFit="1" customWidth="1"/>
    <col min="4" max="4" width="13.9296875" bestFit="1" customWidth="1"/>
    <col min="7" max="7" width="15.73046875" bestFit="1" customWidth="1"/>
  </cols>
  <sheetData>
    <row r="3" spans="1:7" x14ac:dyDescent="0.45">
      <c r="A3" t="s">
        <v>203</v>
      </c>
      <c r="D3" t="s">
        <v>204</v>
      </c>
      <c r="G3" t="s">
        <v>205</v>
      </c>
    </row>
    <row r="4" spans="1:7" x14ac:dyDescent="0.45">
      <c r="A4">
        <v>22462.069999999996</v>
      </c>
      <c r="D4" s="33">
        <v>100</v>
      </c>
      <c r="G4" s="33">
        <v>340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7F2BC-40F0-4568-98D7-2676D0F18058}">
  <dimension ref="A1:B6"/>
  <sheetViews>
    <sheetView zoomScale="85" zoomScaleNormal="85" workbookViewId="0">
      <selection activeCell="O9" sqref="O9"/>
    </sheetView>
  </sheetViews>
  <sheetFormatPr defaultRowHeight="14.25" x14ac:dyDescent="0.45"/>
  <cols>
    <col min="1" max="1" width="8.3984375" bestFit="1" customWidth="1"/>
    <col min="2" max="2" width="20.265625" bestFit="1" customWidth="1"/>
  </cols>
  <sheetData>
    <row r="1" spans="1:2" x14ac:dyDescent="0.45">
      <c r="A1" s="22" t="s">
        <v>11</v>
      </c>
      <c r="B1" s="22" t="s">
        <v>201</v>
      </c>
    </row>
    <row r="2" spans="1:2" x14ac:dyDescent="0.45">
      <c r="A2" t="s">
        <v>29</v>
      </c>
      <c r="B2">
        <v>261.67533333333336</v>
      </c>
    </row>
    <row r="3" spans="1:2" x14ac:dyDescent="0.45">
      <c r="A3" t="s">
        <v>37</v>
      </c>
      <c r="B3">
        <v>259.55687499999999</v>
      </c>
    </row>
    <row r="4" spans="1:2" x14ac:dyDescent="0.45">
      <c r="A4" t="s">
        <v>17</v>
      </c>
      <c r="B4">
        <v>219.94695652173917</v>
      </c>
    </row>
    <row r="5" spans="1:2" x14ac:dyDescent="0.45">
      <c r="A5" t="s">
        <v>59</v>
      </c>
      <c r="B5">
        <v>211.52533333333332</v>
      </c>
    </row>
    <row r="6" spans="1:2" x14ac:dyDescent="0.45">
      <c r="A6" t="s">
        <v>25</v>
      </c>
      <c r="B6">
        <v>198.46354838709678</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02A16-A73F-433F-BDC3-32828B0C18DD}">
  <dimension ref="A3:B9"/>
  <sheetViews>
    <sheetView workbookViewId="0">
      <selection activeCell="B5" sqref="B5"/>
    </sheetView>
  </sheetViews>
  <sheetFormatPr defaultRowHeight="14.25" x14ac:dyDescent="0.45"/>
  <cols>
    <col min="1" max="1" width="15" customWidth="1"/>
    <col min="2" max="2" width="16.3984375" bestFit="1" customWidth="1"/>
    <col min="3" max="3" width="8.33203125" bestFit="1" customWidth="1"/>
    <col min="4" max="13" width="9.33203125" bestFit="1" customWidth="1"/>
    <col min="14" max="14" width="8.33203125" bestFit="1" customWidth="1"/>
    <col min="15" max="15" width="8.73046875" bestFit="1" customWidth="1"/>
    <col min="16" max="16" width="8.33203125" bestFit="1" customWidth="1"/>
    <col min="17" max="21" width="8.73046875" bestFit="1" customWidth="1"/>
    <col min="22" max="22" width="9.86328125" bestFit="1" customWidth="1"/>
  </cols>
  <sheetData>
    <row r="3" spans="1:2" x14ac:dyDescent="0.45">
      <c r="A3" s="1" t="s">
        <v>6</v>
      </c>
      <c r="B3" s="1" t="s">
        <v>187</v>
      </c>
    </row>
    <row r="4" spans="1:2" x14ac:dyDescent="0.45">
      <c r="A4" s="2" t="s">
        <v>40</v>
      </c>
      <c r="B4" s="18">
        <v>6370.5500000000011</v>
      </c>
    </row>
    <row r="5" spans="1:2" x14ac:dyDescent="0.45">
      <c r="A5" s="2" t="s">
        <v>15</v>
      </c>
      <c r="B5" s="18">
        <v>8200.86</v>
      </c>
    </row>
    <row r="6" spans="1:2" x14ac:dyDescent="0.45">
      <c r="A6" s="2" t="s">
        <v>53</v>
      </c>
      <c r="B6" s="18">
        <v>1170.94</v>
      </c>
    </row>
    <row r="7" spans="1:2" x14ac:dyDescent="0.45">
      <c r="A7" s="2" t="s">
        <v>20</v>
      </c>
      <c r="B7" s="18">
        <v>4492.0599999999995</v>
      </c>
    </row>
    <row r="8" spans="1:2" x14ac:dyDescent="0.45">
      <c r="A8" s="2" t="s">
        <v>35</v>
      </c>
      <c r="B8" s="18">
        <v>2227.6600000000003</v>
      </c>
    </row>
    <row r="9" spans="1:2" x14ac:dyDescent="0.45">
      <c r="A9" s="3" t="s">
        <v>185</v>
      </c>
      <c r="B9" s="19">
        <v>22462.070000000003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E22BB-8E01-45F0-AFB4-3505D60E3CF0}">
  <dimension ref="A3:B9"/>
  <sheetViews>
    <sheetView workbookViewId="0">
      <selection activeCell="J24" sqref="J24"/>
    </sheetView>
  </sheetViews>
  <sheetFormatPr defaultRowHeight="14.25" x14ac:dyDescent="0.45"/>
  <cols>
    <col min="1" max="1" width="11.9296875" bestFit="1" customWidth="1"/>
    <col min="2" max="2" width="16.3984375" bestFit="1" customWidth="1"/>
    <col min="3" max="4" width="11.73046875" bestFit="1" customWidth="1"/>
    <col min="5" max="5" width="10.73046875" bestFit="1" customWidth="1"/>
    <col min="6" max="6" width="11.73046875" bestFit="1" customWidth="1"/>
    <col min="7" max="7" width="9.86328125" bestFit="1" customWidth="1"/>
  </cols>
  <sheetData>
    <row r="3" spans="1:2" x14ac:dyDescent="0.45">
      <c r="A3" s="1" t="s">
        <v>184</v>
      </c>
      <c r="B3" s="1" t="s">
        <v>186</v>
      </c>
    </row>
    <row r="4" spans="1:2" x14ac:dyDescent="0.45">
      <c r="A4" s="2" t="s">
        <v>29</v>
      </c>
      <c r="B4" s="17">
        <v>3925.13</v>
      </c>
    </row>
    <row r="5" spans="1:2" x14ac:dyDescent="0.45">
      <c r="A5" s="2" t="s">
        <v>59</v>
      </c>
      <c r="B5" s="17">
        <v>3172.88</v>
      </c>
    </row>
    <row r="6" spans="1:2" x14ac:dyDescent="0.45">
      <c r="A6" s="2" t="s">
        <v>25</v>
      </c>
      <c r="B6" s="17">
        <v>6152.3700000000008</v>
      </c>
    </row>
    <row r="7" spans="1:2" x14ac:dyDescent="0.45">
      <c r="A7" s="2" t="s">
        <v>37</v>
      </c>
      <c r="B7" s="17">
        <v>4152.91</v>
      </c>
    </row>
    <row r="8" spans="1:2" x14ac:dyDescent="0.45">
      <c r="A8" s="2" t="s">
        <v>17</v>
      </c>
      <c r="B8" s="17">
        <v>5058.7799999999988</v>
      </c>
    </row>
    <row r="9" spans="1:2" x14ac:dyDescent="0.45">
      <c r="A9" s="20" t="s">
        <v>185</v>
      </c>
      <c r="B9" s="36">
        <v>22462.07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79AA7-F61C-4A0E-8D72-C8DAC4B14FB7}">
  <dimension ref="A3:B16"/>
  <sheetViews>
    <sheetView workbookViewId="0">
      <selection activeCell="O31" sqref="O31"/>
    </sheetView>
  </sheetViews>
  <sheetFormatPr defaultRowHeight="14.25" x14ac:dyDescent="0.45"/>
  <cols>
    <col min="1" max="1" width="11.9296875" bestFit="1" customWidth="1"/>
    <col min="2" max="2" width="16.3984375" bestFit="1" customWidth="1"/>
    <col min="3" max="3" width="6.73046875" bestFit="1" customWidth="1"/>
    <col min="4" max="13" width="7.73046875" bestFit="1" customWidth="1"/>
    <col min="14" max="14" width="9.86328125" bestFit="1" customWidth="1"/>
    <col min="15" max="15" width="13" bestFit="1" customWidth="1"/>
    <col min="16" max="17" width="11.9296875" bestFit="1" customWidth="1"/>
    <col min="18" max="18" width="13" bestFit="1" customWidth="1"/>
    <col min="19" max="19" width="14" bestFit="1" customWidth="1"/>
    <col min="20" max="23" width="13" bestFit="1" customWidth="1"/>
    <col min="24" max="25" width="11.9296875" bestFit="1" customWidth="1"/>
    <col min="26" max="26" width="13" bestFit="1" customWidth="1"/>
    <col min="27" max="28" width="14" bestFit="1" customWidth="1"/>
    <col min="29" max="29" width="13" bestFit="1" customWidth="1"/>
    <col min="30" max="30" width="14" bestFit="1" customWidth="1"/>
    <col min="31" max="31" width="11.9296875" bestFit="1" customWidth="1"/>
    <col min="32" max="32" width="13" bestFit="1" customWidth="1"/>
    <col min="33" max="34" width="11.9296875" bestFit="1" customWidth="1"/>
    <col min="35" max="35" width="14" bestFit="1" customWidth="1"/>
    <col min="36" max="36" width="13" bestFit="1" customWidth="1"/>
    <col min="37" max="38" width="14" bestFit="1" customWidth="1"/>
    <col min="39" max="41" width="13" bestFit="1" customWidth="1"/>
    <col min="42" max="43" width="14" bestFit="1" customWidth="1"/>
    <col min="44" max="44" width="11.9296875" bestFit="1" customWidth="1"/>
    <col min="45" max="46" width="13" bestFit="1" customWidth="1"/>
    <col min="47" max="48" width="14" bestFit="1" customWidth="1"/>
    <col min="49" max="49" width="13" bestFit="1" customWidth="1"/>
    <col min="50" max="50" width="14" bestFit="1" customWidth="1"/>
    <col min="51" max="51" width="13" bestFit="1" customWidth="1"/>
    <col min="52" max="54" width="11.9296875" bestFit="1" customWidth="1"/>
    <col min="55" max="60" width="14" bestFit="1" customWidth="1"/>
    <col min="61" max="61" width="13" bestFit="1" customWidth="1"/>
    <col min="62" max="62" width="14" bestFit="1" customWidth="1"/>
    <col min="63" max="63" width="11.9296875" bestFit="1" customWidth="1"/>
    <col min="64" max="65" width="13" bestFit="1" customWidth="1"/>
    <col min="66" max="66" width="11.9296875" bestFit="1" customWidth="1"/>
    <col min="67" max="68" width="13" bestFit="1" customWidth="1"/>
    <col min="69" max="69" width="14" bestFit="1" customWidth="1"/>
    <col min="70" max="70" width="13" bestFit="1" customWidth="1"/>
    <col min="71" max="71" width="14" bestFit="1" customWidth="1"/>
    <col min="72" max="74" width="13" bestFit="1" customWidth="1"/>
    <col min="75" max="81" width="14" bestFit="1" customWidth="1"/>
    <col min="82" max="84" width="15" bestFit="1" customWidth="1"/>
    <col min="85" max="85" width="14" bestFit="1" customWidth="1"/>
    <col min="86" max="87" width="13" bestFit="1" customWidth="1"/>
    <col min="88" max="89" width="14" bestFit="1" customWidth="1"/>
    <col min="90" max="91" width="15" bestFit="1" customWidth="1"/>
    <col min="92" max="93" width="14" bestFit="1" customWidth="1"/>
    <col min="94" max="94" width="15" bestFit="1" customWidth="1"/>
    <col min="95" max="96" width="14" bestFit="1" customWidth="1"/>
    <col min="97" max="97" width="15" bestFit="1" customWidth="1"/>
    <col min="98" max="98" width="14" bestFit="1" customWidth="1"/>
    <col min="99" max="101" width="15" bestFit="1" customWidth="1"/>
    <col min="102" max="102" width="9.86328125" bestFit="1" customWidth="1"/>
    <col min="103" max="103" width="6.73046875" bestFit="1" customWidth="1"/>
    <col min="104" max="104" width="7" bestFit="1" customWidth="1"/>
    <col min="105" max="105" width="9.86328125" bestFit="1" customWidth="1"/>
  </cols>
  <sheetData>
    <row r="3" spans="1:2" x14ac:dyDescent="0.45">
      <c r="A3" s="1" t="s">
        <v>184</v>
      </c>
      <c r="B3" s="1" t="s">
        <v>186</v>
      </c>
    </row>
    <row r="4" spans="1:2" x14ac:dyDescent="0.45">
      <c r="A4" s="2" t="s">
        <v>198</v>
      </c>
      <c r="B4" s="18">
        <v>2695.0699999999997</v>
      </c>
    </row>
    <row r="5" spans="1:2" x14ac:dyDescent="0.45">
      <c r="A5" s="2" t="s">
        <v>199</v>
      </c>
      <c r="B5" s="18">
        <v>368.94999999999993</v>
      </c>
    </row>
    <row r="6" spans="1:2" x14ac:dyDescent="0.45">
      <c r="A6" s="2" t="s">
        <v>188</v>
      </c>
      <c r="B6" s="18">
        <v>1740.35</v>
      </c>
    </row>
    <row r="7" spans="1:2" x14ac:dyDescent="0.45">
      <c r="A7" s="2" t="s">
        <v>189</v>
      </c>
      <c r="B7" s="18">
        <v>1357.2199999999998</v>
      </c>
    </row>
    <row r="8" spans="1:2" x14ac:dyDescent="0.45">
      <c r="A8" s="2" t="s">
        <v>190</v>
      </c>
      <c r="B8" s="18">
        <v>1868.9300000000003</v>
      </c>
    </row>
    <row r="9" spans="1:2" x14ac:dyDescent="0.45">
      <c r="A9" s="2" t="s">
        <v>200</v>
      </c>
      <c r="B9" s="18">
        <v>1582.0900000000001</v>
      </c>
    </row>
    <row r="10" spans="1:2" x14ac:dyDescent="0.45">
      <c r="A10" s="2" t="s">
        <v>191</v>
      </c>
      <c r="B10" s="18">
        <v>1443.4899999999998</v>
      </c>
    </row>
    <row r="11" spans="1:2" x14ac:dyDescent="0.45">
      <c r="A11" s="2" t="s">
        <v>192</v>
      </c>
      <c r="B11" s="18">
        <v>3077.5100000000007</v>
      </c>
    </row>
    <row r="12" spans="1:2" x14ac:dyDescent="0.45">
      <c r="A12" s="2" t="s">
        <v>193</v>
      </c>
      <c r="B12" s="18">
        <v>2615.8900000000003</v>
      </c>
    </row>
    <row r="13" spans="1:2" x14ac:dyDescent="0.45">
      <c r="A13" s="2" t="s">
        <v>194</v>
      </c>
      <c r="B13" s="18">
        <v>1626.0400000000002</v>
      </c>
    </row>
    <row r="14" spans="1:2" x14ac:dyDescent="0.45">
      <c r="A14" s="2" t="s">
        <v>195</v>
      </c>
      <c r="B14" s="18">
        <v>2671.0699999999997</v>
      </c>
    </row>
    <row r="15" spans="1:2" x14ac:dyDescent="0.45">
      <c r="A15" s="2" t="s">
        <v>196</v>
      </c>
      <c r="B15" s="18">
        <v>1415.46</v>
      </c>
    </row>
    <row r="16" spans="1:2" x14ac:dyDescent="0.45">
      <c r="A16" s="3" t="s">
        <v>185</v>
      </c>
      <c r="B16" s="35">
        <v>22462.07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E2375-9647-4316-B915-DED39BE6FD8A}">
  <dimension ref="A1:B13"/>
  <sheetViews>
    <sheetView workbookViewId="0">
      <selection activeCell="H23" sqref="H23"/>
    </sheetView>
  </sheetViews>
  <sheetFormatPr defaultRowHeight="14.25" x14ac:dyDescent="0.45"/>
  <cols>
    <col min="1" max="1" width="11.46484375" bestFit="1" customWidth="1"/>
    <col min="2" max="2" width="19.33203125" bestFit="1" customWidth="1"/>
  </cols>
  <sheetData>
    <row r="1" spans="1:2" x14ac:dyDescent="0.45">
      <c r="A1" s="22" t="s">
        <v>3</v>
      </c>
      <c r="B1" s="22" t="s">
        <v>197</v>
      </c>
    </row>
    <row r="2" spans="1:2" x14ac:dyDescent="0.45">
      <c r="A2">
        <v>1</v>
      </c>
      <c r="B2" s="21">
        <v>2695.0699999999997</v>
      </c>
    </row>
    <row r="3" spans="1:2" x14ac:dyDescent="0.45">
      <c r="A3">
        <v>2</v>
      </c>
      <c r="B3" s="21">
        <v>368.94999999999993</v>
      </c>
    </row>
    <row r="4" spans="1:2" x14ac:dyDescent="0.45">
      <c r="A4">
        <v>3</v>
      </c>
      <c r="B4" s="21">
        <v>1740.35</v>
      </c>
    </row>
    <row r="5" spans="1:2" x14ac:dyDescent="0.45">
      <c r="A5">
        <v>4</v>
      </c>
      <c r="B5" s="21">
        <v>1357.2199999999998</v>
      </c>
    </row>
    <row r="6" spans="1:2" x14ac:dyDescent="0.45">
      <c r="A6">
        <v>5</v>
      </c>
      <c r="B6" s="21">
        <v>1868.9300000000003</v>
      </c>
    </row>
    <row r="7" spans="1:2" x14ac:dyDescent="0.45">
      <c r="A7">
        <v>6</v>
      </c>
      <c r="B7" s="21">
        <v>1582.0900000000001</v>
      </c>
    </row>
    <row r="8" spans="1:2" x14ac:dyDescent="0.45">
      <c r="A8">
        <v>7</v>
      </c>
      <c r="B8" s="21">
        <v>1443.4899999999998</v>
      </c>
    </row>
    <row r="9" spans="1:2" x14ac:dyDescent="0.45">
      <c r="A9">
        <v>8</v>
      </c>
      <c r="B9" s="21">
        <v>3077.5100000000007</v>
      </c>
    </row>
    <row r="10" spans="1:2" x14ac:dyDescent="0.45">
      <c r="A10">
        <v>9</v>
      </c>
      <c r="B10" s="21">
        <v>2615.8900000000003</v>
      </c>
    </row>
    <row r="11" spans="1:2" x14ac:dyDescent="0.45">
      <c r="A11">
        <v>10</v>
      </c>
      <c r="B11" s="21">
        <v>1626.0400000000002</v>
      </c>
    </row>
    <row r="12" spans="1:2" x14ac:dyDescent="0.45">
      <c r="A12">
        <v>11</v>
      </c>
      <c r="B12" s="21">
        <v>2671.0699999999997</v>
      </c>
    </row>
    <row r="13" spans="1:2" x14ac:dyDescent="0.45">
      <c r="A13">
        <v>12</v>
      </c>
      <c r="B13" s="21">
        <v>1415.46</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B39064-3367-445C-873F-1C6C0C58B7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Consolidated_Sales_Data</vt:lpstr>
      <vt:lpstr>Dashboard</vt:lpstr>
      <vt:lpstr>Summary</vt:lpstr>
      <vt:lpstr>average sales per region</vt:lpstr>
      <vt:lpstr>Sale by category</vt:lpstr>
      <vt:lpstr>Total sales by region</vt:lpstr>
      <vt:lpstr>Monthly Sales</vt:lpstr>
      <vt:lpstr>month-wise 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Lala Suleymanova</dc:creator>
  <cp:lastModifiedBy>Lala Suleymanova</cp:lastModifiedBy>
  <dcterms:created xsi:type="dcterms:W3CDTF">2026-09-03T02:27:40Z</dcterms:created>
  <dcterms:modified xsi:type="dcterms:W3CDTF">2026-09-04T05:29:10Z</dcterms:modified>
</cp:coreProperties>
</file>