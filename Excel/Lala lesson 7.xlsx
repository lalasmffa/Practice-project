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f61eb93f413e52/Fullstack/excel/"/>
    </mc:Choice>
  </mc:AlternateContent>
  <xr:revisionPtr revIDLastSave="270" documentId="8_{4A93BB7B-3753-40C6-A1CB-69FEF0ED5656}" xr6:coauthVersionLast="47" xr6:coauthVersionMax="47" xr10:uidLastSave="{1CEA107D-8CFC-417A-8C5D-20A6B6EC7263}"/>
  <bookViews>
    <workbookView xWindow="-98" yWindow="-98" windowWidth="21795" windowHeight="12975" tabRatio="867" activeTab="4" xr2:uid="{B3ED2157-EB6D-4686-8C0B-C4CA44218E55}"/>
  </bookViews>
  <sheets>
    <sheet name="sales_dataset" sheetId="1" r:id="rId1"/>
    <sheet name="Moving Average" sheetId="2" r:id="rId2"/>
    <sheet name="ANOVA " sheetId="4" r:id="rId3"/>
    <sheet name="Covariance" sheetId="5" r:id="rId4"/>
    <sheet name="Correlation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6" l="1"/>
  <c r="B19" i="6"/>
  <c r="B18" i="6"/>
  <c r="J12" i="5"/>
  <c r="I11" i="5"/>
  <c r="H10" i="5"/>
  <c r="F3" i="2" l="1"/>
  <c r="G5" i="2" s="1"/>
  <c r="F4" i="2"/>
  <c r="G6" i="2" s="1"/>
  <c r="F5" i="2"/>
  <c r="G7" i="2" s="1"/>
  <c r="F6" i="2"/>
  <c r="G8" i="2" s="1"/>
  <c r="F7" i="2"/>
  <c r="G9" i="2" s="1"/>
  <c r="F8" i="2"/>
  <c r="G10" i="2" s="1"/>
  <c r="F9" i="2"/>
  <c r="G11" i="2" s="1"/>
  <c r="F10" i="2"/>
  <c r="G12" i="2" s="1"/>
  <c r="F11" i="2"/>
  <c r="G13" i="2" s="1"/>
  <c r="F12" i="2"/>
  <c r="F13" i="2"/>
  <c r="F2" i="2"/>
  <c r="G4" i="2" s="1"/>
</calcChain>
</file>

<file path=xl/sharedStrings.xml><?xml version="1.0" encoding="utf-8"?>
<sst xmlns="http://schemas.openxmlformats.org/spreadsheetml/2006/main" count="131" uniqueCount="40">
  <si>
    <t>Year</t>
  </si>
  <si>
    <t>Region</t>
  </si>
  <si>
    <t>Product A Sales</t>
  </si>
  <si>
    <t>Product B Sales</t>
  </si>
  <si>
    <t>Product C Sales</t>
  </si>
  <si>
    <t>India</t>
  </si>
  <si>
    <t>USA</t>
  </si>
  <si>
    <t>Canada</t>
  </si>
  <si>
    <t>UK</t>
  </si>
  <si>
    <t>Overall Sales</t>
  </si>
  <si>
    <t>Moving Average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</si>
  <si>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</si>
  <si>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</si>
  <si>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</si>
  <si>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</si>
  <si>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</si>
  <si>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</si>
  <si>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</si>
  <si>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</si>
  <si>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</si>
  <si>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</si>
  <si>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</si>
  <si>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</si>
  <si>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</si>
  <si>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</si>
  <si>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</si>
  <si>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</si>
  <si>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</si>
  <si>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</si>
  <si>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Since the calculated </t>
    </r>
    <r>
      <rPr>
        <b/>
        <sz val="11"/>
        <color theme="1"/>
        <rFont val="Aptos Narrow"/>
        <family val="2"/>
        <scheme val="minor"/>
      </rPr>
      <t>F-statistic (</t>
    </r>
    <r>
      <rPr>
        <b/>
        <sz val="11"/>
        <color theme="1"/>
        <rFont val="Arial"/>
        <family val="2"/>
      </rPr>
      <t>$0.107$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is less than the </t>
    </r>
    <r>
      <rPr>
        <b/>
        <sz val="11"/>
        <color theme="1"/>
        <rFont val="Aptos Narrow"/>
        <family val="2"/>
        <scheme val="minor"/>
      </rPr>
      <t>F-critical value (</t>
    </r>
    <r>
      <rPr>
        <b/>
        <sz val="11"/>
        <color theme="1"/>
        <rFont val="Arial"/>
        <family val="2"/>
      </rPr>
      <t>$3.285$</t>
    </r>
    <r>
      <rPr>
        <b/>
        <sz val="11"/>
        <color theme="1"/>
        <rFont val="Aptos Narrow"/>
        <family val="2"/>
        <scheme val="minor"/>
      </rPr>
      <t xml:space="preserve">) </t>
    </r>
    <r>
      <rPr>
        <sz val="11"/>
        <color theme="1"/>
        <rFont val="Aptos Narrow"/>
        <family val="2"/>
        <scheme val="minor"/>
      </rPr>
      <t>and the</t>
    </r>
    <r>
      <rPr>
        <b/>
        <sz val="11"/>
        <color theme="1"/>
        <rFont val="Aptos Narrow"/>
        <family val="2"/>
        <scheme val="minor"/>
      </rPr>
      <t xml:space="preserve"> P-value (</t>
    </r>
    <r>
      <rPr>
        <b/>
        <sz val="11"/>
        <color theme="1"/>
        <rFont val="Arial"/>
        <family val="2"/>
      </rPr>
      <t>$0.899$</t>
    </r>
    <r>
      <rPr>
        <b/>
        <sz val="11"/>
        <color theme="1"/>
        <rFont val="Aptos Narrow"/>
        <family val="2"/>
        <scheme val="minor"/>
      </rPr>
      <t xml:space="preserve">) is greater than </t>
    </r>
    <r>
      <rPr>
        <b/>
        <sz val="11"/>
        <color theme="1"/>
        <rFont val="Arial"/>
        <family val="2"/>
      </rPr>
      <t>$0.05$</t>
    </r>
    <r>
      <rPr>
        <b/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2"/>
        <scheme val="minor"/>
      </rPr>
      <t>we fail to reject (accept) the Null hypothesis. This means there is no statistically significant difference in average sales among Product A, Product B, and Product C across different countries and years.</t>
    </r>
  </si>
  <si>
    <r>
      <rPr>
        <b/>
        <sz val="11"/>
        <color theme="1"/>
        <rFont val="Aptos Narrow"/>
        <family val="2"/>
        <scheme val="minor"/>
      </rPr>
      <t xml:space="preserve">Product A Sales &amp; Product B Sales: </t>
    </r>
    <r>
      <rPr>
        <sz val="10"/>
        <color theme="1"/>
        <rFont val="Arial Unicode MS"/>
      </rPr>
      <t>-626214.36</t>
    </r>
    <r>
      <rPr>
        <sz val="11"/>
        <color theme="1"/>
        <rFont val="Aptos Narrow"/>
        <family val="2"/>
        <scheme val="minor"/>
      </rPr>
      <t xml:space="preserve"> (Negative)  There is an inverse relationship. When Product A sales go up, Product B sales tend to go down.</t>
    </r>
  </si>
  <si>
    <r>
      <rPr>
        <b/>
        <sz val="11"/>
        <color theme="1"/>
        <rFont val="Aptos Narrow"/>
        <family val="2"/>
        <scheme val="minor"/>
      </rPr>
      <t>Product A Sales &amp; Product C Sales: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-251982.03</t>
    </r>
    <r>
      <rPr>
        <sz val="11"/>
        <color theme="1"/>
        <rFont val="Aptos Narrow"/>
        <family val="2"/>
        <scheme val="minor"/>
      </rPr>
      <t xml:space="preserve"> (Negative) There is an inverse relationship. When Product A sales increase, Product C sales tend to decrease.</t>
    </r>
  </si>
  <si>
    <r>
      <rPr>
        <b/>
        <sz val="11"/>
        <color theme="1"/>
        <rFont val="Aptos Narrow"/>
        <family val="2"/>
        <scheme val="minor"/>
      </rPr>
      <t xml:space="preserve">Product B Sales &amp; Product C Sales: </t>
    </r>
    <r>
      <rPr>
        <b/>
        <sz val="10"/>
        <color theme="1"/>
        <rFont val="Arial Unicode MS"/>
      </rPr>
      <t>-</t>
    </r>
    <r>
      <rPr>
        <sz val="10"/>
        <color theme="1"/>
        <rFont val="Arial Unicode MS"/>
      </rPr>
      <t>35062.53</t>
    </r>
    <r>
      <rPr>
        <sz val="11"/>
        <color theme="1"/>
        <rFont val="Aptos Narrow"/>
        <family val="2"/>
        <scheme val="minor"/>
      </rPr>
      <t xml:space="preserve"> (Negative) There is also a negative relationship, but its magnitude is much smaller (closer to zero), indicating a weaker negative relationship compared to the others.</t>
    </r>
  </si>
  <si>
    <r>
      <rPr>
        <b/>
        <sz val="11"/>
        <color theme="1"/>
        <rFont val="Aptos Narrow"/>
        <family val="2"/>
        <scheme val="minor"/>
      </rPr>
      <t>Diagonal Values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2956859.14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5799059.06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1912375.22</t>
    </r>
    <r>
      <rPr>
        <sz val="11"/>
        <color theme="1"/>
        <rFont val="Aptos Narrow"/>
        <family val="2"/>
        <scheme val="minor"/>
      </rPr>
      <t>): These values show the variance (spread/variability) of sales for each individual product. Product B exhibits the highest sales variability.</t>
    </r>
  </si>
  <si>
    <t xml:space="preserve">Product A &amp; Product B </t>
  </si>
  <si>
    <t>Product A &amp; Product C</t>
  </si>
  <si>
    <t xml:space="preserve">Product C &amp; Product B </t>
  </si>
  <si>
    <t>Product pair</t>
  </si>
  <si>
    <t>Corellation coefficent</t>
  </si>
  <si>
    <t>The line graph shows that all three product pairs have weak negative correlations. The strongest negative relationship is between Product A and Product B (-0.151), while Product B and Product C have almost no correlation (-0.011).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</si>
</sst>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 Unicode MS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3" fillId="33" borderId="10" xfId="0" applyFont="1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  <xf numFmtId="0" fontId="0" fillId="34" borderId="10" xfId="0" applyFill="1" applyBorder="1"/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16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3" fillId="35" borderId="10" xfId="0" applyFont="1" applyFill="1" applyBorder="1"/>
    <xf numFmtId="0" fontId="0" fillId="0" borderId="10" xfId="0" applyBorder="1"/>
    <xf numFmtId="0" fontId="18" fillId="0" borderId="10" xfId="0" applyFont="1" applyFill="1" applyBorder="1" applyAlignment="1">
      <alignment horizontal="center"/>
    </xf>
    <xf numFmtId="0" fontId="0" fillId="0" borderId="10" xfId="0" applyFill="1" applyBorder="1" applyAlignment="1"/>
    <xf numFmtId="0" fontId="13" fillId="33" borderId="10" xfId="0" applyFont="1" applyFill="1" applyBorder="1" applyAlignment="1">
      <alignment horizontal="left"/>
    </xf>
    <xf numFmtId="0" fontId="13" fillId="33" borderId="10" xfId="0" applyFont="1" applyFill="1" applyBorder="1"/>
    <xf numFmtId="0" fontId="0" fillId="0" borderId="10" xfId="0" applyBorder="1" applyAlignment="1">
      <alignment horizontal="left"/>
    </xf>
    <xf numFmtId="0" fontId="22" fillId="0" borderId="10" xfId="0" applyFont="1" applyFill="1" applyBorder="1" applyAlignment="1">
      <alignment horizontal="center"/>
    </xf>
    <xf numFmtId="0" fontId="16" fillId="0" borderId="10" xfId="0" applyFont="1" applyFill="1" applyBorder="1" applyAlignment="1"/>
    <xf numFmtId="0" fontId="13" fillId="36" borderId="10" xfId="0" applyFont="1" applyFill="1" applyBorder="1"/>
    <xf numFmtId="0" fontId="13" fillId="36" borderId="10" xfId="0" applyFont="1" applyFill="1" applyBorder="1" applyAlignment="1">
      <alignment horizontal="left"/>
    </xf>
    <xf numFmtId="173" fontId="0" fillId="0" borderId="10" xfId="0" applyNumberFormat="1" applyBorder="1"/>
    <xf numFmtId="0" fontId="13" fillId="36" borderId="10" xfId="0" applyFont="1" applyFill="1" applyBorder="1" applyAlignment="1"/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Moving Average over 3 year period</a:t>
            </a:r>
            <a:endParaRPr lang="pl-PL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'Moving Average'!$G$2:$G$13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19907.666666666668</c:v>
                </c:pt>
                <c:pt idx="3">
                  <c:v>19646</c:v>
                </c:pt>
                <c:pt idx="4">
                  <c:v>18464</c:v>
                </c:pt>
                <c:pt idx="5">
                  <c:v>18192.666666666668</c:v>
                </c:pt>
                <c:pt idx="6">
                  <c:v>20491</c:v>
                </c:pt>
                <c:pt idx="7">
                  <c:v>19396</c:v>
                </c:pt>
                <c:pt idx="8">
                  <c:v>18961</c:v>
                </c:pt>
                <c:pt idx="9">
                  <c:v>18264</c:v>
                </c:pt>
                <c:pt idx="10">
                  <c:v>19541.666666666668</c:v>
                </c:pt>
                <c:pt idx="11">
                  <c:v>18940.666666666668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30-4297-B4BE-24EA11A80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564303"/>
        <c:axId val="694395567"/>
      </c:lineChart>
      <c:catAx>
        <c:axId val="1050564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95567"/>
        <c:crosses val="autoZero"/>
        <c:auto val="1"/>
        <c:lblAlgn val="ctr"/>
        <c:lblOffset val="100"/>
        <c:noMultiLvlLbl val="0"/>
      </c:catAx>
      <c:valAx>
        <c:axId val="69439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56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E" sz="1400" b="1" i="0" u="none" strike="noStrike" baseline="0"/>
              <a:t>Correlation Between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26207871222276"/>
          <c:y val="0.16511967279142803"/>
          <c:w val="0.86953600729776104"/>
          <c:h val="0.78590981222594303"/>
        </c:manualLayout>
      </c:layout>
      <c:lineChart>
        <c:grouping val="standard"/>
        <c:varyColors val="0"/>
        <c:ser>
          <c:idx val="0"/>
          <c:order val="0"/>
          <c:tx>
            <c:strRef>
              <c:f>Correlation!$B$17</c:f>
              <c:strCache>
                <c:ptCount val="1"/>
                <c:pt idx="0">
                  <c:v>Corellation coefficent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Correlation!$A$18:$A$20</c:f>
              <c:strCache>
                <c:ptCount val="3"/>
                <c:pt idx="0">
                  <c:v>Product A &amp; Product B </c:v>
                </c:pt>
                <c:pt idx="1">
                  <c:v>Product A &amp; Product C</c:v>
                </c:pt>
                <c:pt idx="2">
                  <c:v>Product C &amp; Product B </c:v>
                </c:pt>
              </c:strCache>
            </c:strRef>
          </c:cat>
          <c:val>
            <c:numRef>
              <c:f>Correlation!$B$18:$B$20</c:f>
              <c:numCache>
                <c:formatCode>0.000</c:formatCode>
                <c:ptCount val="3"/>
                <c:pt idx="0">
                  <c:v>-0.15122686166151589</c:v>
                </c:pt>
                <c:pt idx="1">
                  <c:v>-0.10596628148938629</c:v>
                </c:pt>
                <c:pt idx="2">
                  <c:v>-1.0528776405318329E-2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D-41EC-865C-A29F3D7F2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441551"/>
        <c:axId val="2003493263"/>
      </c:lineChart>
      <c:catAx>
        <c:axId val="82544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493263"/>
        <c:crosses val="autoZero"/>
        <c:auto val="1"/>
        <c:lblAlgn val="ctr"/>
        <c:lblOffset val="100"/>
        <c:noMultiLvlLbl val="0"/>
      </c:catAx>
      <c:valAx>
        <c:axId val="200349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44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42863</xdr:colOff>
      <xdr:row>0</xdr:row>
      <xdr:rowOff>76200</xdr:rowOff>
    </xdr:from>
    <xdr:to>
      <xdr:col>17</xdr:col>
      <xdr:colOff>566780</xdr:colOff>
      <xdr:row>4</xdr:row>
      <xdr:rowOff>80968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F2DBD-A2AB-4E8E-7B32-1B20C9AFD0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1046"/>
        <a:stretch>
          <a:fillRect/>
        </a:stretch>
      </xdr:blipFill>
      <xdr:spPr>
        <a:xfrm>
          <a:off x="7062788" y="76200"/>
          <a:ext cx="5705517" cy="728668"/>
        </a:xfrm>
        <a:prstGeom prst="rect">
          <a:avLst/>
        </a:prstGeom>
      </xdr:spPr>
    </xdr:pic>
    <xdr:clientData/>
  </xdr:twoCellAnchor>
  <xdr:twoCellAnchor>
    <xdr:from>
      <xdr:col>9</xdr:col>
      <xdr:colOff>40481</xdr:colOff>
      <xdr:row>6</xdr:row>
      <xdr:rowOff>157163</xdr:rowOff>
    </xdr:from>
    <xdr:to>
      <xdr:col>16</xdr:col>
      <xdr:colOff>78581</xdr:colOff>
      <xdr:row>22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B12BF3-ED9C-8D6F-FF04-4DEE3ABF0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19051</xdr:colOff>
      <xdr:row>0</xdr:row>
      <xdr:rowOff>171451</xdr:rowOff>
    </xdr:from>
    <xdr:to>
      <xdr:col>12</xdr:col>
      <xdr:colOff>447717</xdr:colOff>
      <xdr:row>5</xdr:row>
      <xdr:rowOff>161933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D20C8-1A62-D8A1-7AF2-0D83FB8F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5770" y="171451"/>
          <a:ext cx="5631697" cy="9032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0</xdr:row>
      <xdr:rowOff>61912</xdr:rowOff>
    </xdr:from>
    <xdr:to>
      <xdr:col>13</xdr:col>
      <xdr:colOff>85768</xdr:colOff>
      <xdr:row>4</xdr:row>
      <xdr:rowOff>71442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673D21-5A04-D2A4-25D1-30D41A13C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5850" y="61912"/>
          <a:ext cx="5857918" cy="733430"/>
        </a:xfrm>
        <a:prstGeom prst="rect">
          <a:avLst/>
        </a:prstGeom>
      </xdr:spPr>
    </xdr:pic>
    <xdr:clientData/>
  </xdr:twoCellAnchor>
  <xdr:twoCellAnchor>
    <xdr:from>
      <xdr:col>6</xdr:col>
      <xdr:colOff>626266</xdr:colOff>
      <xdr:row>11</xdr:row>
      <xdr:rowOff>176213</xdr:rowOff>
    </xdr:from>
    <xdr:to>
      <xdr:col>11</xdr:col>
      <xdr:colOff>266699</xdr:colOff>
      <xdr:row>27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0F7EE8-E2A2-EEF7-5BE9-DF392AD4B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E351-F368-44E4-AA39-AA8117AC8B78}">
  <dimension ref="A1:E13"/>
  <sheetViews>
    <sheetView workbookViewId="0">
      <selection activeCell="D27" sqref="D27"/>
    </sheetView>
  </sheetViews>
  <sheetFormatPr defaultRowHeight="14.25"/>
  <cols>
    <col min="1" max="1" width="4.73046875" bestFit="1" customWidth="1"/>
    <col min="2" max="2" width="6.73046875" bestFit="1" customWidth="1"/>
    <col min="3" max="3" width="12.796875" bestFit="1" customWidth="1"/>
    <col min="4" max="4" width="12.86328125" bestFit="1" customWidth="1"/>
    <col min="5" max="5" width="13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2019</v>
      </c>
      <c r="B2" t="s">
        <v>5</v>
      </c>
      <c r="C2">
        <v>5674</v>
      </c>
      <c r="D2">
        <v>6721</v>
      </c>
      <c r="E2">
        <v>3947</v>
      </c>
    </row>
    <row r="3" spans="1:5">
      <c r="A3">
        <v>2019</v>
      </c>
      <c r="B3" t="s">
        <v>6</v>
      </c>
      <c r="C3">
        <v>3598</v>
      </c>
      <c r="D3">
        <v>9374</v>
      </c>
      <c r="E3">
        <v>7272</v>
      </c>
    </row>
    <row r="4" spans="1:5">
      <c r="A4">
        <v>2019</v>
      </c>
      <c r="B4" t="s">
        <v>7</v>
      </c>
      <c r="C4">
        <v>8765</v>
      </c>
      <c r="D4">
        <v>9272</v>
      </c>
      <c r="E4">
        <v>5100</v>
      </c>
    </row>
    <row r="5" spans="1:5">
      <c r="A5">
        <v>2019</v>
      </c>
      <c r="B5" t="s">
        <v>8</v>
      </c>
      <c r="C5">
        <v>4539</v>
      </c>
      <c r="D5">
        <v>6473</v>
      </c>
      <c r="E5">
        <v>4545</v>
      </c>
    </row>
    <row r="6" spans="1:5">
      <c r="A6">
        <v>2020</v>
      </c>
      <c r="B6" t="s">
        <v>5</v>
      </c>
      <c r="C6">
        <v>6238</v>
      </c>
      <c r="D6">
        <v>3948</v>
      </c>
      <c r="E6">
        <v>6512</v>
      </c>
    </row>
    <row r="7" spans="1:5">
      <c r="A7">
        <v>2020</v>
      </c>
      <c r="B7" t="s">
        <v>6</v>
      </c>
      <c r="C7">
        <v>8728</v>
      </c>
      <c r="D7">
        <v>7972</v>
      </c>
      <c r="E7">
        <v>5623</v>
      </c>
    </row>
    <row r="8" spans="1:5">
      <c r="A8">
        <v>2020</v>
      </c>
      <c r="B8" t="s">
        <v>7</v>
      </c>
      <c r="C8">
        <v>4589</v>
      </c>
      <c r="D8">
        <v>9224</v>
      </c>
      <c r="E8">
        <v>8639</v>
      </c>
    </row>
    <row r="9" spans="1:5">
      <c r="A9">
        <v>2020</v>
      </c>
      <c r="B9" t="s">
        <v>8</v>
      </c>
      <c r="C9">
        <v>6098</v>
      </c>
      <c r="D9">
        <v>2315</v>
      </c>
      <c r="E9">
        <v>5000</v>
      </c>
    </row>
    <row r="10" spans="1:5">
      <c r="A10">
        <v>2021</v>
      </c>
      <c r="B10" t="s">
        <v>5</v>
      </c>
      <c r="C10">
        <v>7312</v>
      </c>
      <c r="D10">
        <v>8665</v>
      </c>
      <c r="E10">
        <v>5041</v>
      </c>
    </row>
    <row r="11" spans="1:5">
      <c r="A11">
        <v>2021</v>
      </c>
      <c r="B11" t="s">
        <v>6</v>
      </c>
      <c r="C11">
        <v>8361</v>
      </c>
      <c r="D11">
        <v>4629</v>
      </c>
      <c r="E11">
        <v>7371</v>
      </c>
    </row>
    <row r="12" spans="1:5">
      <c r="A12">
        <v>2021</v>
      </c>
      <c r="B12" t="s">
        <v>7</v>
      </c>
      <c r="C12">
        <v>5343</v>
      </c>
      <c r="D12">
        <v>5126</v>
      </c>
      <c r="E12">
        <v>6777</v>
      </c>
    </row>
    <row r="13" spans="1:5">
      <c r="A13">
        <v>2021</v>
      </c>
      <c r="B13" t="s">
        <v>8</v>
      </c>
      <c r="C13">
        <v>8265</v>
      </c>
      <c r="D13">
        <v>3341</v>
      </c>
      <c r="E13">
        <v>7609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B3FF-EC27-4381-821D-A31EA3604773}">
  <dimension ref="A1:G13"/>
  <sheetViews>
    <sheetView showGridLines="0" workbookViewId="0">
      <selection activeCell="E19" sqref="E19"/>
    </sheetView>
  </sheetViews>
  <sheetFormatPr defaultRowHeight="14.25"/>
  <cols>
    <col min="1" max="1" width="4.73046875" style="3" bestFit="1" customWidth="1"/>
    <col min="2" max="2" width="11.265625" style="3" customWidth="1"/>
    <col min="3" max="4" width="13.19921875" style="3" bestFit="1" customWidth="1"/>
    <col min="5" max="5" width="13.33203125" style="3" bestFit="1" customWidth="1"/>
    <col min="6" max="6" width="11.265625" style="3" bestFit="1" customWidth="1"/>
    <col min="7" max="7" width="13.132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</row>
    <row r="2" spans="1:7">
      <c r="A2" s="2">
        <v>2019</v>
      </c>
      <c r="B2" s="2" t="s">
        <v>5</v>
      </c>
      <c r="C2" s="2">
        <v>5674</v>
      </c>
      <c r="D2" s="2">
        <v>6721</v>
      </c>
      <c r="E2" s="2">
        <v>3947</v>
      </c>
      <c r="F2" s="2">
        <f>SUM(C2:E2)</f>
        <v>16342</v>
      </c>
      <c r="G2" s="4" t="e">
        <v>#N/A</v>
      </c>
    </row>
    <row r="3" spans="1:7">
      <c r="A3" s="2">
        <v>2019</v>
      </c>
      <c r="B3" s="2" t="s">
        <v>6</v>
      </c>
      <c r="C3" s="2">
        <v>3598</v>
      </c>
      <c r="D3" s="2">
        <v>9374</v>
      </c>
      <c r="E3" s="2">
        <v>7272</v>
      </c>
      <c r="F3" s="2">
        <f t="shared" ref="F3:F13" si="0">SUM(C3:E3)</f>
        <v>20244</v>
      </c>
      <c r="G3" s="4" t="e">
        <v>#N/A</v>
      </c>
    </row>
    <row r="4" spans="1:7">
      <c r="A4" s="2">
        <v>2019</v>
      </c>
      <c r="B4" s="2" t="s">
        <v>7</v>
      </c>
      <c r="C4" s="2">
        <v>8765</v>
      </c>
      <c r="D4" s="2">
        <v>9272</v>
      </c>
      <c r="E4" s="2">
        <v>5100</v>
      </c>
      <c r="F4" s="2">
        <f t="shared" si="0"/>
        <v>23137</v>
      </c>
      <c r="G4" s="4">
        <f t="shared" ref="G4:G13" si="1">AVERAGE(F2:F4)</f>
        <v>19907.666666666668</v>
      </c>
    </row>
    <row r="5" spans="1:7">
      <c r="A5" s="2">
        <v>2019</v>
      </c>
      <c r="B5" s="2" t="s">
        <v>8</v>
      </c>
      <c r="C5" s="2">
        <v>4539</v>
      </c>
      <c r="D5" s="2">
        <v>6473</v>
      </c>
      <c r="E5" s="2">
        <v>4545</v>
      </c>
      <c r="F5" s="2">
        <f t="shared" si="0"/>
        <v>15557</v>
      </c>
      <c r="G5" s="4">
        <f t="shared" si="1"/>
        <v>19646</v>
      </c>
    </row>
    <row r="6" spans="1:7">
      <c r="A6" s="2">
        <v>2020</v>
      </c>
      <c r="B6" s="2" t="s">
        <v>5</v>
      </c>
      <c r="C6" s="2">
        <v>6238</v>
      </c>
      <c r="D6" s="2">
        <v>3948</v>
      </c>
      <c r="E6" s="2">
        <v>6512</v>
      </c>
      <c r="F6" s="2">
        <f t="shared" si="0"/>
        <v>16698</v>
      </c>
      <c r="G6" s="4">
        <f t="shared" si="1"/>
        <v>18464</v>
      </c>
    </row>
    <row r="7" spans="1:7">
      <c r="A7" s="2">
        <v>2020</v>
      </c>
      <c r="B7" s="2" t="s">
        <v>6</v>
      </c>
      <c r="C7" s="2">
        <v>8728</v>
      </c>
      <c r="D7" s="2">
        <v>7972</v>
      </c>
      <c r="E7" s="2">
        <v>5623</v>
      </c>
      <c r="F7" s="2">
        <f t="shared" si="0"/>
        <v>22323</v>
      </c>
      <c r="G7" s="4">
        <f t="shared" si="1"/>
        <v>18192.666666666668</v>
      </c>
    </row>
    <row r="8" spans="1:7">
      <c r="A8" s="2">
        <v>2020</v>
      </c>
      <c r="B8" s="2" t="s">
        <v>7</v>
      </c>
      <c r="C8" s="2">
        <v>4589</v>
      </c>
      <c r="D8" s="2">
        <v>9224</v>
      </c>
      <c r="E8" s="2">
        <v>8639</v>
      </c>
      <c r="F8" s="2">
        <f t="shared" si="0"/>
        <v>22452</v>
      </c>
      <c r="G8" s="4">
        <f t="shared" si="1"/>
        <v>20491</v>
      </c>
    </row>
    <row r="9" spans="1:7">
      <c r="A9" s="2">
        <v>2020</v>
      </c>
      <c r="B9" s="2" t="s">
        <v>8</v>
      </c>
      <c r="C9" s="2">
        <v>6098</v>
      </c>
      <c r="D9" s="2">
        <v>2315</v>
      </c>
      <c r="E9" s="2">
        <v>5000</v>
      </c>
      <c r="F9" s="2">
        <f t="shared" si="0"/>
        <v>13413</v>
      </c>
      <c r="G9" s="4">
        <f t="shared" si="1"/>
        <v>19396</v>
      </c>
    </row>
    <row r="10" spans="1:7">
      <c r="A10" s="2">
        <v>2021</v>
      </c>
      <c r="B10" s="2" t="s">
        <v>5</v>
      </c>
      <c r="C10" s="2">
        <v>7312</v>
      </c>
      <c r="D10" s="2">
        <v>8665</v>
      </c>
      <c r="E10" s="2">
        <v>5041</v>
      </c>
      <c r="F10" s="2">
        <f t="shared" si="0"/>
        <v>21018</v>
      </c>
      <c r="G10" s="4">
        <f t="shared" si="1"/>
        <v>18961</v>
      </c>
    </row>
    <row r="11" spans="1:7">
      <c r="A11" s="2">
        <v>2021</v>
      </c>
      <c r="B11" s="2" t="s">
        <v>6</v>
      </c>
      <c r="C11" s="2">
        <v>8361</v>
      </c>
      <c r="D11" s="2">
        <v>4629</v>
      </c>
      <c r="E11" s="2">
        <v>7371</v>
      </c>
      <c r="F11" s="2">
        <f t="shared" si="0"/>
        <v>20361</v>
      </c>
      <c r="G11" s="4">
        <f t="shared" si="1"/>
        <v>18264</v>
      </c>
    </row>
    <row r="12" spans="1:7">
      <c r="A12" s="2">
        <v>2021</v>
      </c>
      <c r="B12" s="2" t="s">
        <v>7</v>
      </c>
      <c r="C12" s="2">
        <v>5343</v>
      </c>
      <c r="D12" s="2">
        <v>5126</v>
      </c>
      <c r="E12" s="2">
        <v>6777</v>
      </c>
      <c r="F12" s="2">
        <f t="shared" si="0"/>
        <v>17246</v>
      </c>
      <c r="G12" s="4">
        <f t="shared" si="1"/>
        <v>19541.666666666668</v>
      </c>
    </row>
    <row r="13" spans="1:7">
      <c r="A13" s="2">
        <v>2021</v>
      </c>
      <c r="B13" s="2" t="s">
        <v>8</v>
      </c>
      <c r="C13" s="2">
        <v>8265</v>
      </c>
      <c r="D13" s="2">
        <v>3341</v>
      </c>
      <c r="E13" s="2">
        <v>7609</v>
      </c>
      <c r="F13" s="2">
        <f t="shared" si="0"/>
        <v>19215</v>
      </c>
      <c r="G13" s="4">
        <f t="shared" si="1"/>
        <v>18940.666666666668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0202-1099-45DE-BB2B-65E36311507D}">
  <dimension ref="A1:N23"/>
  <sheetViews>
    <sheetView showGridLines="0" workbookViewId="0">
      <selection activeCell="G17" sqref="G17"/>
    </sheetView>
  </sheetViews>
  <sheetFormatPr defaultRowHeight="14.25"/>
  <cols>
    <col min="1" max="1" width="7.265625" style="9" customWidth="1"/>
    <col min="2" max="2" width="7.796875" customWidth="1"/>
    <col min="3" max="4" width="13.19921875" bestFit="1" customWidth="1"/>
    <col min="5" max="5" width="13.33203125" bestFit="1" customWidth="1"/>
    <col min="8" max="8" width="16.46484375" bestFit="1" customWidth="1"/>
    <col min="9" max="9" width="9.73046875" bestFit="1" customWidth="1"/>
    <col min="10" max="10" width="5.73046875" bestFit="1" customWidth="1"/>
    <col min="11" max="14" width="11.73046875" bestFit="1" customWidth="1"/>
  </cols>
  <sheetData>
    <row r="1" spans="1:14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H1" s="7" t="s">
        <v>11</v>
      </c>
    </row>
    <row r="2" spans="1:14">
      <c r="A2" s="19">
        <v>2019</v>
      </c>
      <c r="B2" s="14" t="s">
        <v>5</v>
      </c>
      <c r="C2" s="14">
        <v>5674</v>
      </c>
      <c r="D2" s="14">
        <v>6721</v>
      </c>
      <c r="E2" s="14">
        <v>3947</v>
      </c>
    </row>
    <row r="3" spans="1:14" ht="14.65" thickBot="1">
      <c r="A3" s="19">
        <v>2019</v>
      </c>
      <c r="B3" s="14" t="s">
        <v>6</v>
      </c>
      <c r="C3" s="14">
        <v>3598</v>
      </c>
      <c r="D3" s="14">
        <v>9374</v>
      </c>
      <c r="E3" s="14">
        <v>7272</v>
      </c>
      <c r="H3" t="s">
        <v>12</v>
      </c>
    </row>
    <row r="4" spans="1:14">
      <c r="A4" s="19">
        <v>2019</v>
      </c>
      <c r="B4" s="14" t="s">
        <v>7</v>
      </c>
      <c r="C4" s="14">
        <v>8765</v>
      </c>
      <c r="D4" s="14">
        <v>9272</v>
      </c>
      <c r="E4" s="14">
        <v>5100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</row>
    <row r="5" spans="1:14">
      <c r="A5" s="19">
        <v>2019</v>
      </c>
      <c r="B5" s="14" t="s">
        <v>8</v>
      </c>
      <c r="C5" s="14">
        <v>4539</v>
      </c>
      <c r="D5" s="14">
        <v>6473</v>
      </c>
      <c r="E5" s="14">
        <v>4545</v>
      </c>
      <c r="H5" t="s">
        <v>2</v>
      </c>
      <c r="I5">
        <v>12</v>
      </c>
      <c r="J5">
        <v>77510</v>
      </c>
      <c r="K5">
        <v>6459.166666666667</v>
      </c>
      <c r="L5">
        <v>3225664.515151517</v>
      </c>
    </row>
    <row r="6" spans="1:14">
      <c r="A6" s="19">
        <v>2020</v>
      </c>
      <c r="B6" s="14" t="s">
        <v>5</v>
      </c>
      <c r="C6" s="14">
        <v>6238</v>
      </c>
      <c r="D6" s="14">
        <v>3948</v>
      </c>
      <c r="E6" s="14">
        <v>6512</v>
      </c>
      <c r="H6" t="s">
        <v>3</v>
      </c>
      <c r="I6">
        <v>12</v>
      </c>
      <c r="J6">
        <v>77060</v>
      </c>
      <c r="K6">
        <v>6421.666666666667</v>
      </c>
      <c r="L6">
        <v>6326246.2424242441</v>
      </c>
    </row>
    <row r="7" spans="1:14" ht="14.65" thickBot="1">
      <c r="A7" s="19">
        <v>2020</v>
      </c>
      <c r="B7" s="14" t="s">
        <v>6</v>
      </c>
      <c r="C7" s="14">
        <v>8728</v>
      </c>
      <c r="D7" s="14">
        <v>7972</v>
      </c>
      <c r="E7" s="14">
        <v>5623</v>
      </c>
      <c r="H7" s="5" t="s">
        <v>4</v>
      </c>
      <c r="I7" s="5">
        <v>12</v>
      </c>
      <c r="J7" s="5">
        <v>73436</v>
      </c>
      <c r="K7" s="5">
        <v>6119.666666666667</v>
      </c>
      <c r="L7" s="5">
        <v>2086227.515151517</v>
      </c>
    </row>
    <row r="8" spans="1:14">
      <c r="A8" s="19">
        <v>2020</v>
      </c>
      <c r="B8" s="14" t="s">
        <v>7</v>
      </c>
      <c r="C8" s="14">
        <v>4589</v>
      </c>
      <c r="D8" s="14">
        <v>9224</v>
      </c>
      <c r="E8" s="14">
        <v>8639</v>
      </c>
    </row>
    <row r="9" spans="1:14">
      <c r="A9" s="19">
        <v>2020</v>
      </c>
      <c r="B9" s="14" t="s">
        <v>8</v>
      </c>
      <c r="C9" s="14">
        <v>6098</v>
      </c>
      <c r="D9" s="14">
        <v>2315</v>
      </c>
      <c r="E9" s="14">
        <v>5000</v>
      </c>
    </row>
    <row r="10" spans="1:14" ht="14.65" thickBot="1">
      <c r="A10" s="19">
        <v>2021</v>
      </c>
      <c r="B10" s="14" t="s">
        <v>5</v>
      </c>
      <c r="C10" s="14">
        <v>7312</v>
      </c>
      <c r="D10" s="14">
        <v>8665</v>
      </c>
      <c r="E10" s="14">
        <v>5041</v>
      </c>
      <c r="H10" s="7" t="s">
        <v>18</v>
      </c>
    </row>
    <row r="11" spans="1:14">
      <c r="A11" s="19">
        <v>2021</v>
      </c>
      <c r="B11" s="14" t="s">
        <v>6</v>
      </c>
      <c r="C11" s="14">
        <v>8361</v>
      </c>
      <c r="D11" s="14">
        <v>4629</v>
      </c>
      <c r="E11" s="14">
        <v>7371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</row>
    <row r="12" spans="1:14">
      <c r="A12" s="19">
        <v>2021</v>
      </c>
      <c r="B12" s="14" t="s">
        <v>7</v>
      </c>
      <c r="C12" s="14">
        <v>5343</v>
      </c>
      <c r="D12" s="14">
        <v>5126</v>
      </c>
      <c r="E12" s="14">
        <v>6777</v>
      </c>
      <c r="H12" t="s">
        <v>26</v>
      </c>
      <c r="I12">
        <v>831481.9999999851</v>
      </c>
      <c r="J12">
        <v>2</v>
      </c>
      <c r="K12">
        <v>415740.99999999255</v>
      </c>
      <c r="L12">
        <v>0.10716688277563351</v>
      </c>
      <c r="M12">
        <v>0.89868709868225538</v>
      </c>
      <c r="N12">
        <v>3.2849176510382869</v>
      </c>
    </row>
    <row r="13" spans="1:14">
      <c r="A13" s="19">
        <v>2021</v>
      </c>
      <c r="B13" s="14" t="s">
        <v>8</v>
      </c>
      <c r="C13" s="14">
        <v>8265</v>
      </c>
      <c r="D13" s="14">
        <v>3341</v>
      </c>
      <c r="E13" s="14">
        <v>7609</v>
      </c>
      <c r="H13" t="s">
        <v>27</v>
      </c>
      <c r="I13">
        <v>128019521.00000001</v>
      </c>
      <c r="J13">
        <v>33</v>
      </c>
      <c r="K13">
        <v>3879379.4242424248</v>
      </c>
    </row>
    <row r="15" spans="1:14" ht="14.65" thickBot="1">
      <c r="H15" s="5" t="s">
        <v>28</v>
      </c>
      <c r="I15" s="5">
        <v>128851003</v>
      </c>
      <c r="J15" s="5">
        <v>35</v>
      </c>
      <c r="K15" s="5"/>
      <c r="L15" s="5"/>
      <c r="M15" s="5"/>
      <c r="N15" s="5"/>
    </row>
    <row r="18" spans="8:14">
      <c r="H18" s="8" t="s">
        <v>29</v>
      </c>
      <c r="I18" s="8"/>
      <c r="J18" s="8"/>
      <c r="K18" s="8"/>
      <c r="L18" s="8"/>
      <c r="M18" s="8"/>
      <c r="N18" s="8"/>
    </row>
    <row r="19" spans="8:14">
      <c r="H19" s="8"/>
      <c r="I19" s="8"/>
      <c r="J19" s="8"/>
      <c r="K19" s="8"/>
      <c r="L19" s="8"/>
      <c r="M19" s="8"/>
      <c r="N19" s="8"/>
    </row>
    <row r="20" spans="8:14">
      <c r="H20" s="8"/>
      <c r="I20" s="8"/>
      <c r="J20" s="8"/>
      <c r="K20" s="8"/>
      <c r="L20" s="8"/>
      <c r="M20" s="8"/>
      <c r="N20" s="8"/>
    </row>
    <row r="21" spans="8:14">
      <c r="H21" s="8"/>
      <c r="I21" s="8"/>
      <c r="J21" s="8"/>
      <c r="K21" s="8"/>
      <c r="L21" s="8"/>
      <c r="M21" s="8"/>
      <c r="N21" s="8"/>
    </row>
    <row r="22" spans="8:14">
      <c r="H22" s="8"/>
      <c r="I22" s="8"/>
      <c r="J22" s="8"/>
      <c r="K22" s="8"/>
      <c r="L22" s="8"/>
      <c r="M22" s="8"/>
      <c r="N22" s="8"/>
    </row>
    <row r="23" spans="8:14">
      <c r="H23" s="8"/>
      <c r="I23" s="8"/>
      <c r="J23" s="8"/>
      <c r="K23" s="8"/>
      <c r="L23" s="8"/>
      <c r="M23" s="8"/>
      <c r="N23" s="8"/>
    </row>
  </sheetData>
  <mergeCells count="1">
    <mergeCell ref="H18:N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8D1B-90C4-4709-A054-4714ECD89890}">
  <dimension ref="A1:J29"/>
  <sheetViews>
    <sheetView showGridLines="0" zoomScaleNormal="100" workbookViewId="0">
      <selection activeCell="H23" sqref="H23"/>
    </sheetView>
  </sheetViews>
  <sheetFormatPr defaultRowHeight="14.25"/>
  <cols>
    <col min="1" max="1" width="4.73046875" bestFit="1" customWidth="1"/>
    <col min="2" max="2" width="6.73046875" bestFit="1" customWidth="1"/>
    <col min="3" max="4" width="13.19921875" bestFit="1" customWidth="1"/>
    <col min="5" max="5" width="13.33203125" bestFit="1" customWidth="1"/>
    <col min="7" max="7" width="13.265625" bestFit="1" customWidth="1"/>
    <col min="8" max="8" width="13.73046875" bestFit="1" customWidth="1"/>
    <col min="9" max="9" width="13.796875" bestFit="1" customWidth="1"/>
    <col min="10" max="10" width="13.9296875" bestFit="1" customWidth="1"/>
  </cols>
  <sheetData>
    <row r="1" spans="1:1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10">
      <c r="A2" s="14">
        <v>2019</v>
      </c>
      <c r="B2" s="14" t="s">
        <v>5</v>
      </c>
      <c r="C2" s="14">
        <v>5674</v>
      </c>
      <c r="D2" s="14">
        <v>6721</v>
      </c>
      <c r="E2" s="14">
        <v>3947</v>
      </c>
    </row>
    <row r="3" spans="1:10">
      <c r="A3" s="14">
        <v>2019</v>
      </c>
      <c r="B3" s="14" t="s">
        <v>6</v>
      </c>
      <c r="C3" s="14">
        <v>3598</v>
      </c>
      <c r="D3" s="14">
        <v>9374</v>
      </c>
      <c r="E3" s="14">
        <v>7272</v>
      </c>
    </row>
    <row r="4" spans="1:10">
      <c r="A4" s="14">
        <v>2019</v>
      </c>
      <c r="B4" s="14" t="s">
        <v>7</v>
      </c>
      <c r="C4" s="14">
        <v>8765</v>
      </c>
      <c r="D4" s="14">
        <v>9272</v>
      </c>
      <c r="E4" s="14">
        <v>5100</v>
      </c>
    </row>
    <row r="5" spans="1:10">
      <c r="A5" s="14">
        <v>2019</v>
      </c>
      <c r="B5" s="14" t="s">
        <v>8</v>
      </c>
      <c r="C5" s="14">
        <v>4539</v>
      </c>
      <c r="D5" s="14">
        <v>6473</v>
      </c>
      <c r="E5" s="14">
        <v>4545</v>
      </c>
    </row>
    <row r="6" spans="1:10">
      <c r="A6" s="14">
        <v>2020</v>
      </c>
      <c r="B6" s="14" t="s">
        <v>5</v>
      </c>
      <c r="C6" s="14">
        <v>6238</v>
      </c>
      <c r="D6" s="14">
        <v>3948</v>
      </c>
      <c r="E6" s="14">
        <v>6512</v>
      </c>
    </row>
    <row r="7" spans="1:10">
      <c r="A7" s="14">
        <v>2020</v>
      </c>
      <c r="B7" s="14" t="s">
        <v>6</v>
      </c>
      <c r="C7" s="14">
        <v>8728</v>
      </c>
      <c r="D7" s="14">
        <v>7972</v>
      </c>
      <c r="E7" s="14">
        <v>5623</v>
      </c>
    </row>
    <row r="8" spans="1:10">
      <c r="A8" s="14">
        <v>2020</v>
      </c>
      <c r="B8" s="14" t="s">
        <v>7</v>
      </c>
      <c r="C8" s="14">
        <v>4589</v>
      </c>
      <c r="D8" s="14">
        <v>9224</v>
      </c>
      <c r="E8" s="14">
        <v>8639</v>
      </c>
      <c r="H8" s="7"/>
      <c r="I8" s="7"/>
      <c r="J8" s="7"/>
    </row>
    <row r="9" spans="1:10">
      <c r="A9" s="14">
        <v>2020</v>
      </c>
      <c r="B9" s="14" t="s">
        <v>8</v>
      </c>
      <c r="C9" s="14">
        <v>6098</v>
      </c>
      <c r="D9" s="14">
        <v>2315</v>
      </c>
      <c r="E9" s="14">
        <v>5000</v>
      </c>
      <c r="G9" s="15"/>
      <c r="H9" s="20" t="s">
        <v>2</v>
      </c>
      <c r="I9" s="20" t="s">
        <v>3</v>
      </c>
      <c r="J9" s="20" t="s">
        <v>4</v>
      </c>
    </row>
    <row r="10" spans="1:10">
      <c r="A10" s="14">
        <v>2021</v>
      </c>
      <c r="B10" s="14" t="s">
        <v>5</v>
      </c>
      <c r="C10" s="14">
        <v>7312</v>
      </c>
      <c r="D10" s="14">
        <v>8665</v>
      </c>
      <c r="E10" s="14">
        <v>5041</v>
      </c>
      <c r="G10" s="21" t="s">
        <v>2</v>
      </c>
      <c r="H10" s="16">
        <f>VARP(Covariance!$C$2:$C$13)</f>
        <v>2956859.138888889</v>
      </c>
      <c r="I10" s="16"/>
      <c r="J10" s="16"/>
    </row>
    <row r="11" spans="1:10">
      <c r="A11" s="14">
        <v>2021</v>
      </c>
      <c r="B11" s="14" t="s">
        <v>6</v>
      </c>
      <c r="C11" s="14">
        <v>8361</v>
      </c>
      <c r="D11" s="14">
        <v>4629</v>
      </c>
      <c r="E11" s="14">
        <v>7371</v>
      </c>
      <c r="G11" s="21" t="s">
        <v>3</v>
      </c>
      <c r="H11" s="16">
        <v>-626214.36111111112</v>
      </c>
      <c r="I11" s="16">
        <f>VARP(Covariance!$D$2:$D$13)</f>
        <v>5799059.055555556</v>
      </c>
      <c r="J11" s="16"/>
    </row>
    <row r="12" spans="1:10">
      <c r="A12" s="14">
        <v>2021</v>
      </c>
      <c r="B12" s="14" t="s">
        <v>7</v>
      </c>
      <c r="C12" s="14">
        <v>5343</v>
      </c>
      <c r="D12" s="14">
        <v>5126</v>
      </c>
      <c r="E12" s="14">
        <v>6777</v>
      </c>
      <c r="G12" s="21" t="s">
        <v>4</v>
      </c>
      <c r="H12" s="16">
        <v>-251982.02777777772</v>
      </c>
      <c r="I12" s="16">
        <v>-35062.527777777788</v>
      </c>
      <c r="J12" s="16">
        <f>VARP(Covariance!$E$2:$E$13)</f>
        <v>1912375.2222222222</v>
      </c>
    </row>
    <row r="13" spans="1:10">
      <c r="A13" s="14">
        <v>2021</v>
      </c>
      <c r="B13" s="14" t="s">
        <v>8</v>
      </c>
      <c r="C13" s="14">
        <v>8265</v>
      </c>
      <c r="D13" s="14">
        <v>3341</v>
      </c>
      <c r="E13" s="14">
        <v>7609</v>
      </c>
    </row>
    <row r="15" spans="1:10" ht="14.25" customHeight="1">
      <c r="A15" s="11" t="s">
        <v>30</v>
      </c>
      <c r="B15" s="11"/>
      <c r="C15" s="11"/>
      <c r="D15" s="11"/>
      <c r="E15" s="11"/>
      <c r="F15" s="11"/>
      <c r="G15" s="11"/>
    </row>
    <row r="16" spans="1:10">
      <c r="A16" s="11"/>
      <c r="B16" s="11"/>
      <c r="C16" s="11"/>
      <c r="D16" s="11"/>
      <c r="E16" s="11"/>
      <c r="F16" s="11"/>
      <c r="G16" s="11"/>
    </row>
    <row r="17" spans="1:7">
      <c r="A17" s="12"/>
      <c r="B17" s="12"/>
      <c r="C17" s="12"/>
      <c r="D17" s="12"/>
      <c r="E17" s="12"/>
      <c r="F17" s="12"/>
      <c r="G17" s="12"/>
    </row>
    <row r="18" spans="1:7" ht="14.25" customHeight="1">
      <c r="A18" s="11" t="s">
        <v>31</v>
      </c>
      <c r="B18" s="11"/>
      <c r="C18" s="11"/>
      <c r="D18" s="11"/>
      <c r="E18" s="11"/>
      <c r="F18" s="11"/>
      <c r="G18" s="11"/>
    </row>
    <row r="19" spans="1:7">
      <c r="A19" s="11"/>
      <c r="B19" s="11"/>
      <c r="C19" s="11"/>
      <c r="D19" s="11"/>
      <c r="E19" s="11"/>
      <c r="F19" s="11"/>
      <c r="G19" s="11"/>
    </row>
    <row r="20" spans="1:7">
      <c r="A20" s="12"/>
      <c r="B20" s="12"/>
      <c r="C20" s="12"/>
      <c r="D20" s="12"/>
      <c r="E20" s="12"/>
      <c r="F20" s="12"/>
      <c r="G20" s="12"/>
    </row>
    <row r="21" spans="1:7" ht="14.25" customHeight="1">
      <c r="A21" s="11" t="s">
        <v>32</v>
      </c>
      <c r="B21" s="11"/>
      <c r="C21" s="11"/>
      <c r="D21" s="11"/>
      <c r="E21" s="11"/>
      <c r="F21" s="11"/>
      <c r="G21" s="11"/>
    </row>
    <row r="22" spans="1:7">
      <c r="A22" s="11"/>
      <c r="B22" s="11"/>
      <c r="C22" s="11"/>
      <c r="D22" s="11"/>
      <c r="E22" s="11"/>
      <c r="F22" s="11"/>
      <c r="G22" s="11"/>
    </row>
    <row r="23" spans="1:7">
      <c r="A23" s="12"/>
      <c r="B23" s="12"/>
      <c r="C23" s="12"/>
      <c r="D23" s="12"/>
      <c r="E23" s="12"/>
      <c r="F23" s="12"/>
      <c r="G23" s="12"/>
    </row>
    <row r="24" spans="1:7" ht="14.25" customHeight="1">
      <c r="A24" s="11" t="s">
        <v>33</v>
      </c>
      <c r="B24" s="11"/>
      <c r="C24" s="11"/>
      <c r="D24" s="11"/>
      <c r="E24" s="11"/>
      <c r="F24" s="11"/>
      <c r="G24" s="11"/>
    </row>
    <row r="25" spans="1:7">
      <c r="A25" s="11"/>
      <c r="B25" s="11"/>
      <c r="C25" s="11"/>
      <c r="D25" s="11"/>
      <c r="E25" s="11"/>
      <c r="F25" s="11"/>
      <c r="G25" s="11"/>
    </row>
    <row r="28" spans="1:7">
      <c r="E28" s="10"/>
    </row>
    <row r="29" spans="1:7">
      <c r="E29" s="10"/>
    </row>
  </sheetData>
  <mergeCells count="4">
    <mergeCell ref="A15:G16"/>
    <mergeCell ref="A18:G19"/>
    <mergeCell ref="A21:G22"/>
    <mergeCell ref="A24:G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153A-16DA-47D0-8C01-483A733919BB}">
  <dimension ref="A1:K25"/>
  <sheetViews>
    <sheetView showGridLines="0" tabSelected="1" workbookViewId="0">
      <selection activeCell="M8" sqref="M8"/>
    </sheetView>
  </sheetViews>
  <sheetFormatPr defaultRowHeight="14.25"/>
  <cols>
    <col min="1" max="1" width="18.19921875" style="9" bestFit="1" customWidth="1"/>
    <col min="2" max="2" width="18.265625" bestFit="1" customWidth="1"/>
    <col min="3" max="3" width="12.796875" bestFit="1" customWidth="1"/>
    <col min="4" max="4" width="12.86328125" bestFit="1" customWidth="1"/>
    <col min="5" max="5" width="13" bestFit="1" customWidth="1"/>
    <col min="8" max="8" width="18" bestFit="1" customWidth="1"/>
    <col min="9" max="9" width="17.73046875" bestFit="1" customWidth="1"/>
    <col min="10" max="10" width="13.53125" bestFit="1" customWidth="1"/>
    <col min="11" max="11" width="13.6640625" bestFit="1" customWidth="1"/>
  </cols>
  <sheetData>
    <row r="1" spans="1:11">
      <c r="A1" s="23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11">
      <c r="A2" s="19">
        <v>2019</v>
      </c>
      <c r="B2" s="14" t="s">
        <v>5</v>
      </c>
      <c r="C2" s="14">
        <v>5674</v>
      </c>
      <c r="D2" s="14">
        <v>6721</v>
      </c>
      <c r="E2" s="14">
        <v>3947</v>
      </c>
    </row>
    <row r="3" spans="1:11">
      <c r="A3" s="19">
        <v>2019</v>
      </c>
      <c r="B3" s="14" t="s">
        <v>6</v>
      </c>
      <c r="C3" s="14">
        <v>3598</v>
      </c>
      <c r="D3" s="14">
        <v>9374</v>
      </c>
      <c r="E3" s="14">
        <v>7272</v>
      </c>
    </row>
    <row r="4" spans="1:11">
      <c r="A4" s="19">
        <v>2019</v>
      </c>
      <c r="B4" s="14" t="s">
        <v>7</v>
      </c>
      <c r="C4" s="14">
        <v>8765</v>
      </c>
      <c r="D4" s="14">
        <v>9272</v>
      </c>
      <c r="E4" s="14">
        <v>5100</v>
      </c>
    </row>
    <row r="5" spans="1:11">
      <c r="A5" s="19">
        <v>2019</v>
      </c>
      <c r="B5" s="14" t="s">
        <v>8</v>
      </c>
      <c r="C5" s="14">
        <v>4539</v>
      </c>
      <c r="D5" s="14">
        <v>6473</v>
      </c>
      <c r="E5" s="14">
        <v>4545</v>
      </c>
    </row>
    <row r="6" spans="1:11">
      <c r="A6" s="19">
        <v>2020</v>
      </c>
      <c r="B6" s="14" t="s">
        <v>5</v>
      </c>
      <c r="C6" s="14">
        <v>6238</v>
      </c>
      <c r="D6" s="14">
        <v>3948</v>
      </c>
      <c r="E6" s="14">
        <v>6512</v>
      </c>
    </row>
    <row r="7" spans="1:11">
      <c r="A7" s="19">
        <v>2020</v>
      </c>
      <c r="B7" s="14" t="s">
        <v>6</v>
      </c>
      <c r="C7" s="14">
        <v>8728</v>
      </c>
      <c r="D7" s="14">
        <v>7972</v>
      </c>
      <c r="E7" s="14">
        <v>5623</v>
      </c>
      <c r="H7" s="15"/>
      <c r="I7" s="20" t="s">
        <v>2</v>
      </c>
      <c r="J7" s="20" t="s">
        <v>3</v>
      </c>
      <c r="K7" s="20" t="s">
        <v>4</v>
      </c>
    </row>
    <row r="8" spans="1:11">
      <c r="A8" s="19">
        <v>2020</v>
      </c>
      <c r="B8" s="14" t="s">
        <v>7</v>
      </c>
      <c r="C8" s="14">
        <v>4589</v>
      </c>
      <c r="D8" s="14">
        <v>9224</v>
      </c>
      <c r="E8" s="14">
        <v>8639</v>
      </c>
      <c r="H8" s="21" t="s">
        <v>2</v>
      </c>
      <c r="I8" s="16">
        <v>1</v>
      </c>
      <c r="J8" s="16"/>
      <c r="K8" s="16"/>
    </row>
    <row r="9" spans="1:11">
      <c r="A9" s="19">
        <v>2020</v>
      </c>
      <c r="B9" s="14" t="s">
        <v>8</v>
      </c>
      <c r="C9" s="14">
        <v>6098</v>
      </c>
      <c r="D9" s="14">
        <v>2315</v>
      </c>
      <c r="E9" s="14">
        <v>5000</v>
      </c>
      <c r="H9" s="21" t="s">
        <v>3</v>
      </c>
      <c r="I9" s="16">
        <v>-0.15122686166151589</v>
      </c>
      <c r="J9" s="16">
        <v>1</v>
      </c>
      <c r="K9" s="16"/>
    </row>
    <row r="10" spans="1:11">
      <c r="A10" s="19">
        <v>2021</v>
      </c>
      <c r="B10" s="14" t="s">
        <v>5</v>
      </c>
      <c r="C10" s="14">
        <v>7312</v>
      </c>
      <c r="D10" s="14">
        <v>8665</v>
      </c>
      <c r="E10" s="14">
        <v>5041</v>
      </c>
      <c r="H10" s="21" t="s">
        <v>4</v>
      </c>
      <c r="I10" s="16">
        <v>-0.10596628148938629</v>
      </c>
      <c r="J10" s="16">
        <v>-1.0528776405318329E-2</v>
      </c>
      <c r="K10" s="16">
        <v>1</v>
      </c>
    </row>
    <row r="11" spans="1:11">
      <c r="A11" s="19">
        <v>2021</v>
      </c>
      <c r="B11" s="14" t="s">
        <v>6</v>
      </c>
      <c r="C11" s="14">
        <v>8361</v>
      </c>
      <c r="D11" s="14">
        <v>4629</v>
      </c>
      <c r="E11" s="14">
        <v>7371</v>
      </c>
    </row>
    <row r="12" spans="1:11">
      <c r="A12" s="19">
        <v>2021</v>
      </c>
      <c r="B12" s="14" t="s">
        <v>7</v>
      </c>
      <c r="C12" s="14">
        <v>5343</v>
      </c>
      <c r="D12" s="14">
        <v>5126</v>
      </c>
      <c r="E12" s="14">
        <v>6777</v>
      </c>
    </row>
    <row r="13" spans="1:11">
      <c r="A13" s="19">
        <v>2021</v>
      </c>
      <c r="B13" s="14" t="s">
        <v>8</v>
      </c>
      <c r="C13" s="14">
        <v>8265</v>
      </c>
      <c r="D13" s="14">
        <v>3341</v>
      </c>
      <c r="E13" s="14">
        <v>7609</v>
      </c>
    </row>
    <row r="17" spans="1:5">
      <c r="A17" s="25" t="s">
        <v>37</v>
      </c>
      <c r="B17" s="22" t="s">
        <v>38</v>
      </c>
    </row>
    <row r="18" spans="1:5">
      <c r="A18" s="14" t="s">
        <v>34</v>
      </c>
      <c r="B18" s="24">
        <f>CORREL(C2:C13,D2:D13)</f>
        <v>-0.15122686166151589</v>
      </c>
    </row>
    <row r="19" spans="1:5">
      <c r="A19" s="14" t="s">
        <v>35</v>
      </c>
      <c r="B19" s="24">
        <f>CORREL(C2:C13,E2:E13)</f>
        <v>-0.10596628148938629</v>
      </c>
    </row>
    <row r="20" spans="1:5">
      <c r="A20" s="14" t="s">
        <v>36</v>
      </c>
      <c r="B20" s="24">
        <f>CORREL(E2:E13,D2:D13)</f>
        <v>-1.0528776405318329E-2</v>
      </c>
    </row>
    <row r="22" spans="1:5" ht="14.25" customHeight="1">
      <c r="A22" s="26" t="s">
        <v>39</v>
      </c>
      <c r="B22" s="26"/>
      <c r="C22" s="26"/>
      <c r="D22" s="26"/>
      <c r="E22" s="26"/>
    </row>
    <row r="23" spans="1:5">
      <c r="A23" s="26"/>
      <c r="B23" s="26"/>
      <c r="C23" s="26"/>
      <c r="D23" s="26"/>
      <c r="E23" s="26"/>
    </row>
    <row r="24" spans="1:5">
      <c r="A24" s="26"/>
      <c r="B24" s="26"/>
      <c r="C24" s="26"/>
      <c r="D24" s="26"/>
      <c r="E24" s="26"/>
    </row>
    <row r="25" spans="1:5">
      <c r="A25" s="26"/>
      <c r="B25" s="26"/>
      <c r="C25" s="26"/>
      <c r="D25" s="26"/>
      <c r="E25" s="26"/>
    </row>
  </sheetData>
  <mergeCells count="1">
    <mergeCell ref="A22:E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sales_dataset</vt:lpstr>
      <vt:lpstr>Moving Average</vt:lpstr>
      <vt:lpstr>ANOVA </vt:lpstr>
      <vt:lpstr>Covariance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Umid</dc:creator>
  <cp:lastModifiedBy>Lala Suleymanova</cp:lastModifiedBy>
  <dcterms:created xsi:type="dcterms:W3CDTF">2026-08-27T05:37:30Z</dcterms:created>
  <dcterms:modified xsi:type="dcterms:W3CDTF">2026-08-28T04:08:04Z</dcterms:modified>
</cp:coreProperties>
</file>